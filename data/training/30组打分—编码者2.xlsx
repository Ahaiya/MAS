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/>
  <mc:AlternateContent xmlns:mc="http://schemas.openxmlformats.org/markup-compatibility/2006">
    <mc:Choice Requires="x15">
      <x15ac:absPath xmlns:x15ac="http://schemas.microsoft.com/office/spreadsheetml/2010/11/ac" url="/Users/ahai/Code/MAS/data/training/"/>
    </mc:Choice>
  </mc:AlternateContent>
  <xr:revisionPtr revIDLastSave="0" documentId="13_ncr:1_{30169DAC-5FE8-3840-9778-2AFF5E33FBFB}" xr6:coauthVersionLast="47" xr6:coauthVersionMax="47" xr10:uidLastSave="{00000000-0000-0000-0000-000000000000}"/>
  <bookViews>
    <workbookView xWindow="0" yWindow="680" windowWidth="34200" windowHeight="202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3" l="1"/>
  <c r="G13" i="3"/>
  <c r="G12" i="3"/>
  <c r="G11" i="3"/>
  <c r="G10" i="3"/>
  <c r="G9" i="3"/>
  <c r="G8" i="3"/>
  <c r="G7" i="3"/>
  <c r="G6" i="3"/>
  <c r="G5" i="3"/>
  <c r="G4" i="3"/>
  <c r="G3" i="3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B19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M18" i="1"/>
  <c r="L18" i="1"/>
  <c r="J18" i="1"/>
  <c r="I18" i="1"/>
  <c r="H18" i="1"/>
  <c r="G18" i="1"/>
  <c r="F18" i="1"/>
  <c r="E18" i="1"/>
  <c r="D18" i="1"/>
  <c r="B18" i="1"/>
  <c r="AE17" i="1"/>
  <c r="AD17" i="1"/>
  <c r="AC17" i="1"/>
  <c r="AB17" i="1"/>
  <c r="AA17" i="1"/>
  <c r="Z17" i="1"/>
  <c r="Y17" i="1"/>
  <c r="X17" i="1"/>
  <c r="W17" i="1"/>
  <c r="T17" i="1"/>
  <c r="S17" i="1"/>
  <c r="R17" i="1"/>
  <c r="Q17" i="1"/>
  <c r="P17" i="1"/>
  <c r="M17" i="1"/>
  <c r="L17" i="1"/>
  <c r="J17" i="1"/>
  <c r="I17" i="1"/>
  <c r="H17" i="1"/>
  <c r="F17" i="1"/>
  <c r="D17" i="1"/>
  <c r="B17" i="1"/>
  <c r="AE16" i="1"/>
  <c r="AE20" i="1" s="1"/>
  <c r="AD16" i="1"/>
  <c r="AD20" i="1" s="1"/>
  <c r="AC16" i="1"/>
  <c r="AC20" i="1" s="1"/>
  <c r="AB16" i="1"/>
  <c r="AB20" i="1" s="1"/>
  <c r="AA16" i="1"/>
  <c r="AA20" i="1" s="1"/>
  <c r="Z16" i="1"/>
  <c r="Z20" i="1" s="1"/>
  <c r="Y16" i="1"/>
  <c r="Y20" i="1" s="1"/>
  <c r="X16" i="1"/>
  <c r="X20" i="1" s="1"/>
  <c r="W16" i="1"/>
  <c r="W20" i="1" s="1"/>
  <c r="V16" i="1"/>
  <c r="U16" i="1"/>
  <c r="T16" i="1"/>
  <c r="T20" i="1" s="1"/>
  <c r="S16" i="1"/>
  <c r="S20" i="1" s="1"/>
  <c r="R16" i="1"/>
  <c r="R20" i="1" s="1"/>
  <c r="Q16" i="1"/>
  <c r="Q20" i="1" s="1"/>
  <c r="P16" i="1"/>
  <c r="P20" i="1" s="1"/>
  <c r="O16" i="1"/>
  <c r="N16" i="1"/>
  <c r="M16" i="1"/>
  <c r="M20" i="1" s="1"/>
  <c r="L16" i="1"/>
  <c r="L20" i="1" s="1"/>
  <c r="K16" i="1"/>
  <c r="J16" i="1"/>
  <c r="J20" i="1" s="1"/>
  <c r="I16" i="1"/>
  <c r="I20" i="1" s="1"/>
  <c r="H16" i="1"/>
  <c r="H20" i="1" s="1"/>
  <c r="G16" i="1"/>
  <c r="F16" i="1"/>
  <c r="F20" i="1" s="1"/>
  <c r="E16" i="1"/>
  <c r="D16" i="1"/>
  <c r="D20" i="1" s="1"/>
  <c r="B16" i="1"/>
  <c r="B20" i="1" s="1"/>
</calcChain>
</file>

<file path=xl/sharedStrings.xml><?xml version="1.0" encoding="utf-8"?>
<sst xmlns="http://schemas.openxmlformats.org/spreadsheetml/2006/main" count="109" uniqueCount="100">
  <si>
    <t>第1组</t>
  </si>
  <si>
    <t>第2组</t>
  </si>
  <si>
    <t>第3组</t>
  </si>
  <si>
    <t>第4组</t>
  </si>
  <si>
    <t>第5组</t>
  </si>
  <si>
    <t>第6组</t>
  </si>
  <si>
    <t>第7组</t>
  </si>
  <si>
    <t>第8组</t>
  </si>
  <si>
    <t>第9组</t>
  </si>
  <si>
    <t>第10组</t>
  </si>
  <si>
    <t>第11组</t>
  </si>
  <si>
    <t>第12组</t>
  </si>
  <si>
    <t>第13组</t>
  </si>
  <si>
    <t>第14组</t>
  </si>
  <si>
    <t>第15组</t>
  </si>
  <si>
    <t>第16组</t>
  </si>
  <si>
    <t>第17组</t>
  </si>
  <si>
    <t>第18组</t>
  </si>
  <si>
    <t>第19组</t>
  </si>
  <si>
    <t>第20组</t>
  </si>
  <si>
    <t>第21组</t>
  </si>
  <si>
    <t>第22组</t>
  </si>
  <si>
    <t>第23组</t>
  </si>
  <si>
    <t>第24组</t>
  </si>
  <si>
    <t>第25组</t>
  </si>
  <si>
    <t>第26组</t>
  </si>
  <si>
    <t>第27组</t>
  </si>
  <si>
    <t>第28组</t>
  </si>
  <si>
    <t>第29组</t>
  </si>
  <si>
    <t>第30组</t>
  </si>
  <si>
    <t>A4-1 用户群体识别的全面性</t>
  </si>
  <si>
    <t>A4-2 痛点定位与需求精准度</t>
  </si>
  <si>
    <t>A4-3 AI协同与伦理反思</t>
  </si>
  <si>
    <t>B1-1 架构逻辑完整性</t>
  </si>
  <si>
    <t>B1-2 可持续与维护性设计</t>
  </si>
  <si>
    <t>B1-3 AI协同效果评估</t>
  </si>
  <si>
    <t>C2-1 风险识别全面性</t>
  </si>
  <si>
    <t>C2-2 应对策略科学性</t>
  </si>
  <si>
    <t>C2-3 风险量化与监控</t>
  </si>
  <si>
    <t>F2-1 伦理问题识别的全面性</t>
  </si>
  <si>
    <t>F2-2 伦理分析框架应用</t>
  </si>
  <si>
    <t>F2-3 社会责任意识与落地</t>
  </si>
  <si>
    <t>所有回答模式相同：复制问题给可调用的智能体、复制答案回复邮百工。没有任何修改，可以认为没有自己的思考。</t>
  </si>
  <si>
    <t>A4得分</t>
  </si>
  <si>
    <t>B1得分</t>
  </si>
  <si>
    <t>C2得分</t>
  </si>
  <si>
    <t>F2得分</t>
  </si>
  <si>
    <t>总分</t>
  </si>
  <si>
    <t>C1-1 风险识别全面性</t>
  </si>
  <si>
    <t>C1-2 应对策略科学性</t>
  </si>
  <si>
    <t>C1-3 风险量化与监控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</si>
  <si>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</si>
  <si>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</si>
  <si>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</si>
  <si>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</si>
  <si>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</si>
  <si>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</si>
  <si>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</si>
  <si>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</si>
  <si>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</si>
  <si>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</si>
  <si>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十一</t>
  </si>
  <si>
    <t>十二</t>
  </si>
  <si>
    <t>十三</t>
  </si>
  <si>
    <t>十四</t>
  </si>
  <si>
    <t>十五</t>
  </si>
  <si>
    <t>十六</t>
  </si>
  <si>
    <t>十七</t>
  </si>
  <si>
    <t>十八</t>
  </si>
  <si>
    <t>十九</t>
  </si>
  <si>
    <t>二十</t>
  </si>
  <si>
    <t>二十一</t>
  </si>
  <si>
    <t>二十二</t>
  </si>
  <si>
    <t>二十三</t>
  </si>
  <si>
    <t>二十四</t>
  </si>
  <si>
    <t>二十五</t>
  </si>
  <si>
    <t>二十六</t>
  </si>
  <si>
    <t>二十七</t>
  </si>
  <si>
    <t>二十八</t>
  </si>
  <si>
    <t>二十九</t>
  </si>
  <si>
    <t>三十</t>
  </si>
  <si>
    <t>描述统计</t>
  </si>
  <si>
    <t>N</t>
  </si>
  <si>
    <t>平均值</t>
  </si>
  <si>
    <t>标准差</t>
  </si>
  <si>
    <t>最小值</t>
  </si>
  <si>
    <t>最大值</t>
  </si>
  <si>
    <t>变异系数</t>
  </si>
  <si>
    <t>A4-1</t>
  </si>
  <si>
    <t>A4-2</t>
  </si>
  <si>
    <t>A4-3</t>
  </si>
  <si>
    <t>B1-1</t>
  </si>
  <si>
    <t>B1-2</t>
  </si>
  <si>
    <t>B1-3</t>
  </si>
  <si>
    <t>C1-1</t>
  </si>
  <si>
    <t>C1-2</t>
  </si>
  <si>
    <t>C1-3</t>
  </si>
  <si>
    <t>F2-1</t>
  </si>
  <si>
    <t>F2-2</t>
  </si>
  <si>
    <t>F2-3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</si>
</sst>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"/>
  <sheetViews>
    <sheetView tabSelected="1" workbookViewId="0">
      <selection activeCell="J30" sqref="J30"/>
    </sheetView>
  </sheetViews>
  <sheetFormatPr baseColWidth="10" defaultColWidth="8.83203125" defaultRowHeight="14"/>
  <cols>
    <col min="1" max="1" width="28.83203125" style="1" customWidth="1"/>
    <col min="2" max="16384" width="8.83203125" style="1"/>
  </cols>
  <sheetData>
    <row r="1" spans="1:31">
      <c r="B1" s="1" t="s">
        <v>0</v>
      </c>
      <c r="C1" s="2" t="s">
        <v>1</v>
      </c>
      <c r="D1" s="1" t="s">
        <v>2</v>
      </c>
      <c r="E1" s="3" t="s">
        <v>3</v>
      </c>
      <c r="F1" s="1" t="s">
        <v>4</v>
      </c>
      <c r="G1" s="3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19</v>
      </c>
      <c r="V1" s="3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 s="1">
        <v>4</v>
      </c>
      <c r="D2" s="1">
        <v>5</v>
      </c>
      <c r="F2" s="1">
        <v>2</v>
      </c>
      <c r="H2" s="1">
        <v>3</v>
      </c>
      <c r="I2" s="1">
        <v>4</v>
      </c>
      <c r="J2" s="1">
        <v>5</v>
      </c>
      <c r="L2" s="1">
        <v>4</v>
      </c>
      <c r="M2" s="1">
        <v>3</v>
      </c>
      <c r="P2" s="1">
        <v>3</v>
      </c>
      <c r="Q2" s="1">
        <v>4</v>
      </c>
      <c r="R2" s="1">
        <v>2</v>
      </c>
      <c r="S2" s="1">
        <v>4</v>
      </c>
      <c r="T2" s="1">
        <v>3</v>
      </c>
      <c r="W2" s="1">
        <v>4</v>
      </c>
      <c r="X2" s="1">
        <v>2</v>
      </c>
      <c r="Y2" s="1">
        <v>4</v>
      </c>
      <c r="Z2" s="1">
        <v>3</v>
      </c>
      <c r="AA2" s="1">
        <v>2</v>
      </c>
      <c r="AB2" s="1">
        <v>2</v>
      </c>
      <c r="AC2" s="1">
        <v>5</v>
      </c>
      <c r="AD2" s="1">
        <v>4</v>
      </c>
      <c r="AE2" s="1">
        <v>3</v>
      </c>
    </row>
    <row r="3" spans="1:31">
      <c r="A3" s="1" t="s">
        <v>31</v>
      </c>
      <c r="B3" s="1">
        <v>4</v>
      </c>
      <c r="D3" s="1">
        <v>4</v>
      </c>
      <c r="F3" s="1">
        <v>3</v>
      </c>
      <c r="H3" s="1">
        <v>4</v>
      </c>
      <c r="I3" s="1">
        <v>4</v>
      </c>
      <c r="J3" s="1">
        <v>4</v>
      </c>
      <c r="L3" s="1">
        <v>3</v>
      </c>
      <c r="M3" s="1">
        <v>4</v>
      </c>
      <c r="P3" s="1">
        <v>5</v>
      </c>
      <c r="Q3" s="1">
        <v>3</v>
      </c>
      <c r="R3" s="1">
        <v>2</v>
      </c>
      <c r="S3" s="1">
        <v>3</v>
      </c>
      <c r="T3" s="1">
        <v>3</v>
      </c>
      <c r="W3" s="1">
        <v>5</v>
      </c>
      <c r="X3" s="1">
        <v>3</v>
      </c>
      <c r="Y3" s="1">
        <v>5</v>
      </c>
      <c r="Z3" s="1">
        <v>4</v>
      </c>
      <c r="AA3" s="1">
        <v>3</v>
      </c>
      <c r="AB3" s="1">
        <v>3</v>
      </c>
      <c r="AC3" s="1">
        <v>4</v>
      </c>
      <c r="AD3" s="1">
        <v>3</v>
      </c>
      <c r="AE3" s="1">
        <v>4</v>
      </c>
    </row>
    <row r="4" spans="1:31">
      <c r="A4" s="1" t="s">
        <v>32</v>
      </c>
      <c r="B4" s="1">
        <v>5</v>
      </c>
      <c r="D4" s="1">
        <v>4</v>
      </c>
      <c r="F4" s="1">
        <v>4</v>
      </c>
      <c r="H4" s="1">
        <v>3</v>
      </c>
      <c r="I4" s="1">
        <v>5</v>
      </c>
      <c r="J4" s="1">
        <v>5</v>
      </c>
      <c r="L4" s="1">
        <v>4</v>
      </c>
      <c r="M4" s="1">
        <v>3</v>
      </c>
      <c r="P4" s="1">
        <v>3</v>
      </c>
      <c r="Q4" s="1">
        <v>2</v>
      </c>
      <c r="R4" s="1">
        <v>3</v>
      </c>
      <c r="S4" s="1">
        <v>3</v>
      </c>
      <c r="T4" s="1">
        <v>2</v>
      </c>
      <c r="W4" s="1">
        <v>4</v>
      </c>
      <c r="X4" s="1">
        <v>4</v>
      </c>
      <c r="Y4" s="1">
        <v>4</v>
      </c>
      <c r="Z4" s="1">
        <v>4</v>
      </c>
      <c r="AA4" s="1">
        <v>4</v>
      </c>
      <c r="AB4" s="1">
        <v>4</v>
      </c>
      <c r="AC4" s="1">
        <v>5</v>
      </c>
      <c r="AD4" s="1">
        <v>3</v>
      </c>
      <c r="AE4" s="1">
        <v>4</v>
      </c>
    </row>
    <row r="5" spans="1:31">
      <c r="A5" s="1" t="s">
        <v>33</v>
      </c>
      <c r="B5" s="1">
        <v>4</v>
      </c>
      <c r="D5" s="1">
        <v>5</v>
      </c>
      <c r="F5" s="1">
        <v>4</v>
      </c>
      <c r="H5" s="1">
        <v>4</v>
      </c>
      <c r="I5" s="1">
        <v>5</v>
      </c>
      <c r="J5" s="1">
        <v>5</v>
      </c>
      <c r="L5" s="1">
        <v>3</v>
      </c>
      <c r="M5" s="1">
        <v>3</v>
      </c>
      <c r="P5" s="1">
        <v>4</v>
      </c>
      <c r="Q5" s="1">
        <v>3</v>
      </c>
      <c r="R5" s="1">
        <v>4</v>
      </c>
      <c r="S5" s="1">
        <v>4</v>
      </c>
      <c r="T5" s="1">
        <v>4</v>
      </c>
      <c r="W5" s="1">
        <v>5</v>
      </c>
      <c r="X5" s="1">
        <v>2</v>
      </c>
      <c r="Y5" s="1">
        <v>4</v>
      </c>
      <c r="Z5" s="1">
        <v>4</v>
      </c>
      <c r="AA5" s="1">
        <v>3</v>
      </c>
      <c r="AB5" s="1">
        <v>3</v>
      </c>
      <c r="AC5" s="1">
        <v>5</v>
      </c>
      <c r="AD5" s="1">
        <v>3</v>
      </c>
      <c r="AE5" s="1">
        <v>4</v>
      </c>
    </row>
    <row r="6" spans="1:31">
      <c r="A6" s="1" t="s">
        <v>34</v>
      </c>
      <c r="B6" s="1">
        <v>4</v>
      </c>
      <c r="D6" s="1">
        <v>4</v>
      </c>
      <c r="F6" s="1">
        <v>3</v>
      </c>
      <c r="H6" s="1">
        <v>4</v>
      </c>
      <c r="I6" s="1">
        <v>5</v>
      </c>
      <c r="J6" s="1">
        <v>4</v>
      </c>
      <c r="L6" s="1">
        <v>4</v>
      </c>
      <c r="M6" s="1">
        <v>3</v>
      </c>
      <c r="P6" s="1">
        <v>4</v>
      </c>
      <c r="Q6" s="1">
        <v>2</v>
      </c>
      <c r="R6" s="1">
        <v>3</v>
      </c>
      <c r="S6" s="1">
        <v>4</v>
      </c>
      <c r="T6" s="1">
        <v>3</v>
      </c>
      <c r="W6" s="1">
        <v>4</v>
      </c>
      <c r="X6" s="1">
        <v>3</v>
      </c>
      <c r="Y6" s="1">
        <v>4</v>
      </c>
      <c r="Z6" s="1">
        <v>4</v>
      </c>
      <c r="AA6" s="1">
        <v>2</v>
      </c>
      <c r="AB6" s="1">
        <v>2</v>
      </c>
      <c r="AC6" s="1">
        <v>4</v>
      </c>
      <c r="AD6" s="1">
        <v>3</v>
      </c>
      <c r="AE6" s="1">
        <v>4</v>
      </c>
    </row>
    <row r="7" spans="1:31">
      <c r="A7" s="1" t="s">
        <v>35</v>
      </c>
      <c r="B7" s="1">
        <v>4</v>
      </c>
      <c r="D7" s="1">
        <v>4</v>
      </c>
      <c r="F7" s="1">
        <v>4</v>
      </c>
      <c r="H7" s="1">
        <v>4</v>
      </c>
      <c r="I7" s="1">
        <v>4</v>
      </c>
      <c r="J7" s="1">
        <v>5</v>
      </c>
      <c r="L7" s="1">
        <v>3</v>
      </c>
      <c r="M7" s="1">
        <v>4</v>
      </c>
      <c r="P7" s="1">
        <v>4</v>
      </c>
      <c r="Q7" s="1">
        <v>1</v>
      </c>
      <c r="R7" s="1">
        <v>3</v>
      </c>
      <c r="S7" s="1">
        <v>3</v>
      </c>
      <c r="T7" s="1">
        <v>3</v>
      </c>
      <c r="W7" s="1">
        <v>5</v>
      </c>
      <c r="X7" s="1">
        <v>2</v>
      </c>
      <c r="Y7" s="1">
        <v>4</v>
      </c>
      <c r="Z7" s="1">
        <v>3</v>
      </c>
      <c r="AA7" s="1">
        <v>2</v>
      </c>
      <c r="AB7" s="1">
        <v>3</v>
      </c>
      <c r="AC7" s="1">
        <v>4</v>
      </c>
      <c r="AD7" s="1">
        <v>4</v>
      </c>
      <c r="AE7" s="1">
        <v>3</v>
      </c>
    </row>
    <row r="8" spans="1:31">
      <c r="A8" s="1" t="s">
        <v>36</v>
      </c>
      <c r="B8" s="1">
        <v>4</v>
      </c>
      <c r="D8" s="1">
        <v>3</v>
      </c>
      <c r="F8" s="1">
        <v>3</v>
      </c>
      <c r="H8" s="1">
        <v>3</v>
      </c>
      <c r="I8" s="1">
        <v>4</v>
      </c>
      <c r="J8" s="1">
        <v>5</v>
      </c>
      <c r="L8" s="1">
        <v>4</v>
      </c>
      <c r="M8" s="1">
        <v>3</v>
      </c>
      <c r="P8" s="1">
        <v>3</v>
      </c>
      <c r="Q8" s="1">
        <v>3</v>
      </c>
      <c r="R8" s="1">
        <v>2</v>
      </c>
      <c r="S8" s="1">
        <v>3</v>
      </c>
      <c r="T8" s="1">
        <v>2</v>
      </c>
      <c r="W8" s="1">
        <v>4</v>
      </c>
      <c r="X8" s="1">
        <v>3</v>
      </c>
      <c r="Y8" s="1">
        <v>3</v>
      </c>
      <c r="Z8" s="1">
        <v>3</v>
      </c>
      <c r="AA8" s="1">
        <v>3</v>
      </c>
      <c r="AB8" s="1">
        <v>3</v>
      </c>
      <c r="AC8" s="1">
        <v>4</v>
      </c>
      <c r="AD8" s="1">
        <v>2</v>
      </c>
      <c r="AE8" s="1">
        <v>4</v>
      </c>
    </row>
    <row r="9" spans="1:31">
      <c r="A9" s="1" t="s">
        <v>37</v>
      </c>
      <c r="B9" s="1">
        <v>5</v>
      </c>
      <c r="D9" s="1">
        <v>4</v>
      </c>
      <c r="F9" s="1">
        <v>4</v>
      </c>
      <c r="H9" s="1">
        <v>3</v>
      </c>
      <c r="I9" s="1">
        <v>5</v>
      </c>
      <c r="J9" s="1">
        <v>4</v>
      </c>
      <c r="L9" s="1">
        <v>3</v>
      </c>
      <c r="M9" s="1">
        <v>3</v>
      </c>
      <c r="P9" s="1">
        <v>4</v>
      </c>
      <c r="Q9" s="1">
        <v>2</v>
      </c>
      <c r="R9" s="1">
        <v>3</v>
      </c>
      <c r="S9" s="1">
        <v>2</v>
      </c>
      <c r="T9" s="1">
        <v>2</v>
      </c>
      <c r="W9" s="1">
        <v>4</v>
      </c>
      <c r="X9" s="1">
        <v>2</v>
      </c>
      <c r="Y9" s="1">
        <v>3</v>
      </c>
      <c r="Z9" s="1">
        <v>1</v>
      </c>
      <c r="AA9" s="1">
        <v>2</v>
      </c>
      <c r="AB9" s="1">
        <v>2</v>
      </c>
      <c r="AC9" s="1">
        <v>3</v>
      </c>
      <c r="AD9" s="1">
        <v>3</v>
      </c>
      <c r="AE9" s="1">
        <v>4</v>
      </c>
    </row>
    <row r="10" spans="1:31">
      <c r="A10" s="1" t="s">
        <v>38</v>
      </c>
      <c r="B10" s="1">
        <v>4</v>
      </c>
      <c r="D10" s="1">
        <v>3</v>
      </c>
      <c r="F10" s="1">
        <v>4</v>
      </c>
      <c r="H10" s="1">
        <v>2</v>
      </c>
      <c r="I10" s="1">
        <v>4</v>
      </c>
      <c r="J10" s="1">
        <v>3</v>
      </c>
      <c r="L10" s="1">
        <v>3</v>
      </c>
      <c r="M10" s="1">
        <v>3</v>
      </c>
      <c r="P10" s="1">
        <v>2</v>
      </c>
      <c r="Q10" s="1">
        <v>3</v>
      </c>
      <c r="R10" s="1">
        <v>2</v>
      </c>
      <c r="S10" s="1">
        <v>2</v>
      </c>
      <c r="T10" s="1">
        <v>1</v>
      </c>
      <c r="W10" s="1">
        <v>5</v>
      </c>
      <c r="X10" s="1">
        <v>1</v>
      </c>
      <c r="Y10" s="1">
        <v>2</v>
      </c>
      <c r="Z10" s="1">
        <v>2</v>
      </c>
      <c r="AA10" s="1">
        <v>2</v>
      </c>
      <c r="AB10" s="1">
        <v>2</v>
      </c>
      <c r="AC10" s="1">
        <v>3</v>
      </c>
      <c r="AD10" s="1">
        <v>1</v>
      </c>
      <c r="AE10" s="1">
        <v>3</v>
      </c>
    </row>
    <row r="11" spans="1:31">
      <c r="A11" s="1" t="s">
        <v>39</v>
      </c>
      <c r="B11" s="1">
        <v>5</v>
      </c>
      <c r="D11" s="1">
        <v>4</v>
      </c>
      <c r="F11" s="1">
        <v>4</v>
      </c>
      <c r="H11" s="1">
        <v>3</v>
      </c>
      <c r="I11" s="1">
        <v>5</v>
      </c>
      <c r="J11" s="1">
        <v>5</v>
      </c>
      <c r="L11" s="1">
        <v>5</v>
      </c>
      <c r="M11" s="1">
        <v>4</v>
      </c>
      <c r="P11" s="1">
        <v>4</v>
      </c>
      <c r="Q11" s="1">
        <v>3</v>
      </c>
      <c r="R11" s="1">
        <v>4</v>
      </c>
      <c r="S11" s="1">
        <v>4</v>
      </c>
      <c r="T11" s="1">
        <v>4</v>
      </c>
      <c r="W11" s="1">
        <v>5</v>
      </c>
      <c r="X11" s="1">
        <v>4</v>
      </c>
      <c r="Y11" s="1">
        <v>3</v>
      </c>
      <c r="Z11" s="1">
        <v>4</v>
      </c>
      <c r="AA11" s="1">
        <v>3</v>
      </c>
      <c r="AB11" s="1">
        <v>4</v>
      </c>
      <c r="AC11" s="1">
        <v>4</v>
      </c>
      <c r="AD11" s="1">
        <v>2</v>
      </c>
      <c r="AE11" s="1">
        <v>3</v>
      </c>
    </row>
    <row r="12" spans="1:31">
      <c r="A12" s="1" t="s">
        <v>40</v>
      </c>
      <c r="B12" s="1">
        <v>4</v>
      </c>
      <c r="D12" s="1">
        <v>3</v>
      </c>
      <c r="F12" s="1">
        <v>3</v>
      </c>
      <c r="H12" s="1">
        <v>3</v>
      </c>
      <c r="I12" s="1">
        <v>5</v>
      </c>
      <c r="J12" s="1">
        <v>4</v>
      </c>
      <c r="L12" s="1">
        <v>4</v>
      </c>
      <c r="M12" s="1">
        <v>4</v>
      </c>
      <c r="P12" s="1">
        <v>4</v>
      </c>
      <c r="Q12" s="1">
        <v>2</v>
      </c>
      <c r="R12" s="1">
        <v>3</v>
      </c>
      <c r="S12" s="1">
        <v>3</v>
      </c>
      <c r="T12" s="1">
        <v>4</v>
      </c>
      <c r="W12" s="1">
        <v>4</v>
      </c>
      <c r="X12" s="1">
        <v>3</v>
      </c>
      <c r="Y12" s="1">
        <v>4</v>
      </c>
      <c r="Z12" s="1">
        <v>3</v>
      </c>
      <c r="AA12" s="1">
        <v>2</v>
      </c>
      <c r="AB12" s="1">
        <v>3</v>
      </c>
      <c r="AC12" s="1">
        <v>2</v>
      </c>
      <c r="AD12" s="1">
        <v>2</v>
      </c>
      <c r="AE12" s="1">
        <v>4</v>
      </c>
    </row>
    <row r="13" spans="1:31">
      <c r="A13" s="1" t="s">
        <v>41</v>
      </c>
      <c r="B13" s="1">
        <v>4</v>
      </c>
      <c r="D13" s="1">
        <v>3</v>
      </c>
      <c r="F13" s="1">
        <v>4</v>
      </c>
      <c r="H13" s="1">
        <v>3</v>
      </c>
      <c r="I13" s="1">
        <v>4</v>
      </c>
      <c r="J13" s="1">
        <v>5</v>
      </c>
      <c r="L13" s="1">
        <v>4</v>
      </c>
      <c r="M13" s="1">
        <v>3</v>
      </c>
      <c r="P13" s="1">
        <v>5</v>
      </c>
      <c r="Q13" s="1">
        <v>1</v>
      </c>
      <c r="R13" s="1">
        <v>3</v>
      </c>
      <c r="S13" s="1">
        <v>4</v>
      </c>
      <c r="T13" s="1">
        <v>4</v>
      </c>
      <c r="W13" s="1">
        <v>4</v>
      </c>
      <c r="X13" s="1">
        <v>2</v>
      </c>
      <c r="Y13" s="1">
        <v>4</v>
      </c>
      <c r="Z13" s="1">
        <v>4</v>
      </c>
      <c r="AA13" s="1">
        <v>3</v>
      </c>
      <c r="AB13" s="1">
        <v>2</v>
      </c>
      <c r="AC13" s="1">
        <v>2</v>
      </c>
      <c r="AD13" s="1">
        <v>2</v>
      </c>
      <c r="AE13" s="1">
        <v>3</v>
      </c>
    </row>
    <row r="14" spans="1:31" ht="15" customHeight="1">
      <c r="C14" s="4" t="s">
        <v>42</v>
      </c>
      <c r="AA14" s="4"/>
    </row>
    <row r="16" spans="1:31">
      <c r="A16" s="1" t="s">
        <v>43</v>
      </c>
      <c r="B16" s="1">
        <f>B2*0.3+B3*0.4+B4*0.3</f>
        <v>4.3</v>
      </c>
      <c r="D16" s="1">
        <f>D2*0.3+D3*0.4+D4*0.3</f>
        <v>4.3</v>
      </c>
      <c r="E16" s="1">
        <f t="shared" ref="E16:AE16" si="0">E2*0.3+E3*0.4+E4*0.3</f>
        <v>0</v>
      </c>
      <c r="F16" s="1">
        <f t="shared" si="0"/>
        <v>3</v>
      </c>
      <c r="G16" s="1">
        <f t="shared" si="0"/>
        <v>0</v>
      </c>
      <c r="H16" s="1">
        <f t="shared" si="0"/>
        <v>3.4</v>
      </c>
      <c r="I16" s="1">
        <f t="shared" si="0"/>
        <v>4.3</v>
      </c>
      <c r="J16" s="1">
        <f t="shared" si="0"/>
        <v>4.5999999999999996</v>
      </c>
      <c r="K16" s="1">
        <f t="shared" si="0"/>
        <v>0</v>
      </c>
      <c r="L16" s="1">
        <f t="shared" si="0"/>
        <v>3.6000000000000005</v>
      </c>
      <c r="M16" s="1">
        <f t="shared" si="0"/>
        <v>3.4</v>
      </c>
      <c r="N16" s="1">
        <f t="shared" si="0"/>
        <v>0</v>
      </c>
      <c r="O16" s="1">
        <f t="shared" si="0"/>
        <v>0</v>
      </c>
      <c r="P16" s="1">
        <f t="shared" si="0"/>
        <v>3.8</v>
      </c>
      <c r="Q16" s="1">
        <f t="shared" si="0"/>
        <v>3.0000000000000004</v>
      </c>
      <c r="R16" s="1">
        <f t="shared" si="0"/>
        <v>2.2999999999999998</v>
      </c>
      <c r="S16" s="1">
        <f t="shared" si="0"/>
        <v>3.3000000000000003</v>
      </c>
      <c r="T16" s="1">
        <f t="shared" si="0"/>
        <v>2.7</v>
      </c>
      <c r="U16" s="1">
        <f t="shared" si="0"/>
        <v>0</v>
      </c>
      <c r="V16" s="1">
        <f t="shared" si="0"/>
        <v>0</v>
      </c>
      <c r="W16" s="1">
        <f t="shared" si="0"/>
        <v>4.4000000000000004</v>
      </c>
      <c r="X16" s="1">
        <f t="shared" si="0"/>
        <v>3</v>
      </c>
      <c r="Y16" s="1">
        <f t="shared" si="0"/>
        <v>4.4000000000000004</v>
      </c>
      <c r="Z16" s="1">
        <f t="shared" si="0"/>
        <v>3.7</v>
      </c>
      <c r="AA16" s="1">
        <f t="shared" si="0"/>
        <v>3</v>
      </c>
      <c r="AB16" s="1">
        <f t="shared" si="0"/>
        <v>3</v>
      </c>
      <c r="AC16" s="1">
        <f t="shared" si="0"/>
        <v>4.5999999999999996</v>
      </c>
      <c r="AD16" s="1">
        <f t="shared" si="0"/>
        <v>3.3000000000000003</v>
      </c>
      <c r="AE16" s="1">
        <f t="shared" si="0"/>
        <v>3.7</v>
      </c>
    </row>
    <row r="17" spans="1:31">
      <c r="A17" s="1" t="s">
        <v>44</v>
      </c>
      <c r="B17" s="1">
        <f>B5*0.4+B6*0.3+B7*0.3</f>
        <v>4</v>
      </c>
      <c r="D17" s="1">
        <f>D5*0.4+D6*0.3+D7*0.3</f>
        <v>4.4000000000000004</v>
      </c>
      <c r="F17" s="1">
        <f t="shared" ref="F17:AE17" si="1">F5*0.4+F6*0.3+F7*0.3</f>
        <v>3.7</v>
      </c>
      <c r="H17" s="1">
        <f t="shared" si="1"/>
        <v>4</v>
      </c>
      <c r="I17" s="1">
        <f t="shared" si="1"/>
        <v>4.7</v>
      </c>
      <c r="J17" s="1">
        <f t="shared" si="1"/>
        <v>4.7</v>
      </c>
      <c r="L17" s="1">
        <f t="shared" si="1"/>
        <v>3.3000000000000003</v>
      </c>
      <c r="M17" s="1">
        <f t="shared" si="1"/>
        <v>3.3</v>
      </c>
      <c r="P17" s="1">
        <f t="shared" si="1"/>
        <v>4</v>
      </c>
      <c r="Q17" s="1">
        <f t="shared" si="1"/>
        <v>2.1</v>
      </c>
      <c r="R17" s="1">
        <f t="shared" si="1"/>
        <v>3.4</v>
      </c>
      <c r="S17" s="1">
        <f t="shared" si="1"/>
        <v>3.6999999999999997</v>
      </c>
      <c r="T17" s="1">
        <f t="shared" si="1"/>
        <v>3.4</v>
      </c>
      <c r="W17" s="1">
        <f t="shared" si="1"/>
        <v>4.7</v>
      </c>
      <c r="X17" s="1">
        <f t="shared" si="1"/>
        <v>2.2999999999999998</v>
      </c>
      <c r="Y17" s="1">
        <f t="shared" si="1"/>
        <v>4</v>
      </c>
      <c r="Z17" s="1">
        <f t="shared" si="1"/>
        <v>3.6999999999999997</v>
      </c>
      <c r="AA17" s="1">
        <f t="shared" si="1"/>
        <v>2.4000000000000004</v>
      </c>
      <c r="AB17" s="1">
        <f t="shared" si="1"/>
        <v>2.7</v>
      </c>
      <c r="AC17" s="1">
        <f t="shared" si="1"/>
        <v>4.4000000000000004</v>
      </c>
      <c r="AD17" s="1">
        <f t="shared" si="1"/>
        <v>3.3</v>
      </c>
      <c r="AE17" s="1">
        <f t="shared" si="1"/>
        <v>3.6999999999999997</v>
      </c>
    </row>
    <row r="18" spans="1:31">
      <c r="A18" s="1" t="s">
        <v>45</v>
      </c>
      <c r="B18" s="1">
        <f>B8*0.4+B9*0.4+B10*0.2</f>
        <v>4.4000000000000004</v>
      </c>
      <c r="D18" s="1">
        <f>D8*0.4+D9*0.4+D10*0.2</f>
        <v>3.4000000000000004</v>
      </c>
      <c r="E18" s="1">
        <f t="shared" ref="E18:AE18" si="2">E8*0.4+E9*0.4+E10*0.2</f>
        <v>0</v>
      </c>
      <c r="F18" s="1">
        <f t="shared" si="2"/>
        <v>3.6000000000000005</v>
      </c>
      <c r="G18" s="1">
        <f t="shared" si="2"/>
        <v>0</v>
      </c>
      <c r="H18" s="1">
        <f t="shared" si="2"/>
        <v>2.8000000000000003</v>
      </c>
      <c r="I18" s="1">
        <f t="shared" si="2"/>
        <v>4.4000000000000004</v>
      </c>
      <c r="J18" s="1">
        <f t="shared" si="2"/>
        <v>4.2</v>
      </c>
      <c r="L18" s="1">
        <f t="shared" si="2"/>
        <v>3.4000000000000004</v>
      </c>
      <c r="M18" s="1">
        <f t="shared" si="2"/>
        <v>3.0000000000000004</v>
      </c>
      <c r="P18" s="1">
        <f t="shared" si="2"/>
        <v>3.2</v>
      </c>
      <c r="Q18" s="1">
        <f t="shared" si="2"/>
        <v>2.6</v>
      </c>
      <c r="R18" s="1">
        <f t="shared" si="2"/>
        <v>2.4</v>
      </c>
      <c r="S18" s="1">
        <f t="shared" si="2"/>
        <v>2.4</v>
      </c>
      <c r="T18" s="1">
        <f t="shared" si="2"/>
        <v>1.8</v>
      </c>
      <c r="U18" s="1">
        <f t="shared" si="2"/>
        <v>0</v>
      </c>
      <c r="V18" s="1">
        <f t="shared" si="2"/>
        <v>0</v>
      </c>
      <c r="W18" s="1">
        <f t="shared" si="2"/>
        <v>4.2</v>
      </c>
      <c r="X18" s="1">
        <f t="shared" si="2"/>
        <v>2.2000000000000002</v>
      </c>
      <c r="Y18" s="1">
        <f t="shared" si="2"/>
        <v>2.8000000000000003</v>
      </c>
      <c r="Z18" s="1">
        <f t="shared" si="2"/>
        <v>2</v>
      </c>
      <c r="AA18" s="1">
        <f t="shared" si="2"/>
        <v>2.4</v>
      </c>
      <c r="AB18" s="1">
        <f t="shared" si="2"/>
        <v>2.4</v>
      </c>
      <c r="AC18" s="1">
        <f t="shared" si="2"/>
        <v>3.4000000000000004</v>
      </c>
      <c r="AD18" s="1">
        <f t="shared" si="2"/>
        <v>2.2000000000000002</v>
      </c>
      <c r="AE18" s="1">
        <f t="shared" si="2"/>
        <v>3.8000000000000003</v>
      </c>
    </row>
    <row r="19" spans="1:31">
      <c r="A19" s="1" t="s">
        <v>46</v>
      </c>
      <c r="B19" s="1">
        <f>B11*0.4+B12*0.2+B13*0.4</f>
        <v>4.4000000000000004</v>
      </c>
      <c r="D19" s="1">
        <f>D11*0.4+D12*0.2+D13*0.4</f>
        <v>3.4000000000000004</v>
      </c>
      <c r="E19" s="1">
        <f t="shared" ref="E19:AE19" si="3">E11*0.4+E12*0.2+E13*0.4</f>
        <v>0</v>
      </c>
      <c r="F19" s="1">
        <f t="shared" si="3"/>
        <v>3.8000000000000003</v>
      </c>
      <c r="G19" s="1">
        <f t="shared" si="3"/>
        <v>0</v>
      </c>
      <c r="H19" s="1">
        <f t="shared" si="3"/>
        <v>3.0000000000000004</v>
      </c>
      <c r="I19" s="1">
        <f t="shared" si="3"/>
        <v>4.5999999999999996</v>
      </c>
      <c r="J19" s="1">
        <f t="shared" si="3"/>
        <v>4.8</v>
      </c>
      <c r="K19" s="1">
        <f t="shared" si="3"/>
        <v>0</v>
      </c>
      <c r="L19" s="1">
        <f t="shared" si="3"/>
        <v>4.4000000000000004</v>
      </c>
      <c r="M19" s="1">
        <f t="shared" si="3"/>
        <v>3.6000000000000005</v>
      </c>
      <c r="N19" s="1">
        <f t="shared" si="3"/>
        <v>0</v>
      </c>
      <c r="O19" s="1">
        <f t="shared" si="3"/>
        <v>0</v>
      </c>
      <c r="P19" s="1">
        <f t="shared" si="3"/>
        <v>4.4000000000000004</v>
      </c>
      <c r="Q19" s="1">
        <f t="shared" si="3"/>
        <v>2</v>
      </c>
      <c r="R19" s="1">
        <f t="shared" si="3"/>
        <v>3.4000000000000004</v>
      </c>
      <c r="S19" s="1">
        <f t="shared" si="3"/>
        <v>3.8000000000000003</v>
      </c>
      <c r="T19" s="1">
        <f t="shared" si="3"/>
        <v>4</v>
      </c>
      <c r="U19" s="1">
        <f t="shared" si="3"/>
        <v>0</v>
      </c>
      <c r="V19" s="1">
        <f t="shared" si="3"/>
        <v>0</v>
      </c>
      <c r="W19" s="1">
        <f t="shared" si="3"/>
        <v>4.4000000000000004</v>
      </c>
      <c r="X19" s="1">
        <f t="shared" si="3"/>
        <v>3</v>
      </c>
      <c r="Y19" s="1">
        <f t="shared" si="3"/>
        <v>3.6</v>
      </c>
      <c r="Z19" s="1">
        <f t="shared" si="3"/>
        <v>3.8000000000000003</v>
      </c>
      <c r="AA19" s="1">
        <f t="shared" si="3"/>
        <v>2.8000000000000003</v>
      </c>
      <c r="AB19" s="1">
        <f t="shared" si="3"/>
        <v>3</v>
      </c>
      <c r="AC19" s="1">
        <f t="shared" si="3"/>
        <v>2.8</v>
      </c>
      <c r="AD19" s="1">
        <f t="shared" si="3"/>
        <v>2</v>
      </c>
      <c r="AE19" s="1">
        <f t="shared" si="3"/>
        <v>3.2</v>
      </c>
    </row>
    <row r="20" spans="1:31">
      <c r="A20" s="1" t="s">
        <v>47</v>
      </c>
      <c r="B20" s="1">
        <f>B16*0.3+B17*0.3+B18*0.25+B19*0.15</f>
        <v>4.25</v>
      </c>
      <c r="D20" s="1">
        <f t="shared" ref="D20:AE20" si="4">D16*0.3+D17*0.3+D18*0.25+D19*0.15</f>
        <v>3.9699999999999998</v>
      </c>
      <c r="F20" s="1">
        <f t="shared" si="4"/>
        <v>3.4800000000000004</v>
      </c>
      <c r="H20" s="1">
        <f t="shared" si="4"/>
        <v>3.37</v>
      </c>
      <c r="I20" s="1">
        <f t="shared" si="4"/>
        <v>4.49</v>
      </c>
      <c r="J20" s="1">
        <f t="shared" si="4"/>
        <v>4.5599999999999996</v>
      </c>
      <c r="L20" s="1">
        <f t="shared" si="4"/>
        <v>3.5800000000000005</v>
      </c>
      <c r="M20" s="1">
        <f t="shared" si="4"/>
        <v>3.3</v>
      </c>
      <c r="P20" s="1">
        <f t="shared" si="4"/>
        <v>3.8</v>
      </c>
      <c r="Q20" s="1">
        <f t="shared" si="4"/>
        <v>2.48</v>
      </c>
      <c r="R20" s="1">
        <f t="shared" si="4"/>
        <v>2.8200000000000003</v>
      </c>
      <c r="S20" s="1">
        <f t="shared" si="4"/>
        <v>3.2699999999999996</v>
      </c>
      <c r="T20" s="1">
        <f t="shared" si="4"/>
        <v>2.8800000000000003</v>
      </c>
      <c r="W20" s="1">
        <f t="shared" si="4"/>
        <v>4.4400000000000004</v>
      </c>
      <c r="X20" s="1">
        <f t="shared" si="4"/>
        <v>2.59</v>
      </c>
      <c r="Y20" s="1">
        <f t="shared" si="4"/>
        <v>3.7600000000000002</v>
      </c>
      <c r="Z20" s="1">
        <f t="shared" si="4"/>
        <v>3.29</v>
      </c>
      <c r="AA20" s="1">
        <f t="shared" si="4"/>
        <v>2.64</v>
      </c>
      <c r="AB20" s="1">
        <f t="shared" si="4"/>
        <v>2.76</v>
      </c>
      <c r="AC20" s="1">
        <f t="shared" si="4"/>
        <v>3.97</v>
      </c>
      <c r="AD20" s="1">
        <f t="shared" si="4"/>
        <v>2.83</v>
      </c>
      <c r="AE20" s="1">
        <f t="shared" si="4"/>
        <v>3.65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workbookViewId="0">
      <selection activeCell="G2" sqref="G2"/>
    </sheetView>
  </sheetViews>
  <sheetFormatPr baseColWidth="10" defaultColWidth="8.83203125" defaultRowHeight="14"/>
  <sheetData>
    <row r="1" spans="1:13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48</v>
      </c>
      <c r="I1" s="1" t="s">
        <v>49</v>
      </c>
      <c r="J1" s="1" t="s">
        <v>50</v>
      </c>
      <c r="K1" s="1" t="s">
        <v>39</v>
      </c>
      <c r="L1" s="1" t="s">
        <v>40</v>
      </c>
      <c r="M1" s="1" t="s">
        <v>41</v>
      </c>
    </row>
    <row r="2" spans="1:13">
      <c r="A2" s="1" t="s">
        <v>51</v>
      </c>
      <c r="B2" s="1">
        <v>4</v>
      </c>
      <c r="C2" s="1">
        <v>5</v>
      </c>
      <c r="D2" s="1">
        <v>4</v>
      </c>
      <c r="E2" s="1">
        <v>4</v>
      </c>
      <c r="F2" s="1">
        <v>3</v>
      </c>
      <c r="G2" s="1">
        <v>4</v>
      </c>
      <c r="H2" s="1">
        <v>5</v>
      </c>
      <c r="I2" s="1">
        <v>5</v>
      </c>
      <c r="J2" s="1">
        <v>4</v>
      </c>
      <c r="K2" s="1">
        <v>5</v>
      </c>
      <c r="L2" s="1">
        <v>5</v>
      </c>
      <c r="M2" s="1">
        <v>4</v>
      </c>
    </row>
    <row r="3" spans="1:13">
      <c r="A3" s="1" t="s">
        <v>52</v>
      </c>
      <c r="B3" s="1">
        <v>5</v>
      </c>
      <c r="C3" s="1">
        <v>5</v>
      </c>
      <c r="D3" s="1">
        <v>5</v>
      </c>
      <c r="E3" s="1">
        <v>4</v>
      </c>
      <c r="F3" s="1">
        <v>4</v>
      </c>
      <c r="G3" s="1">
        <v>4</v>
      </c>
      <c r="H3" s="1">
        <v>5</v>
      </c>
      <c r="I3" s="1">
        <v>5</v>
      </c>
      <c r="J3" s="1">
        <v>3</v>
      </c>
      <c r="K3" s="1">
        <v>4</v>
      </c>
      <c r="L3" s="1">
        <v>3</v>
      </c>
      <c r="M3" s="1">
        <v>4</v>
      </c>
    </row>
    <row r="4" spans="1:13">
      <c r="A4" s="1" t="s">
        <v>53</v>
      </c>
      <c r="B4" s="1">
        <v>5</v>
      </c>
      <c r="C4" s="1">
        <v>5</v>
      </c>
      <c r="D4" s="1">
        <v>5</v>
      </c>
      <c r="E4" s="1">
        <v>5</v>
      </c>
      <c r="F4" s="1">
        <v>4</v>
      </c>
      <c r="G4" s="1">
        <v>4</v>
      </c>
      <c r="H4" s="1">
        <v>4</v>
      </c>
      <c r="I4" s="1">
        <v>4</v>
      </c>
      <c r="J4" s="1">
        <v>3</v>
      </c>
      <c r="K4" s="1">
        <v>5</v>
      </c>
      <c r="L4" s="1">
        <v>5</v>
      </c>
      <c r="M4" s="1">
        <v>4</v>
      </c>
    </row>
    <row r="5" spans="1:13">
      <c r="A5" s="1" t="s">
        <v>54</v>
      </c>
      <c r="B5" s="1">
        <v>5</v>
      </c>
      <c r="C5" s="1">
        <v>5</v>
      </c>
      <c r="D5" s="1">
        <v>5</v>
      </c>
      <c r="E5" s="1">
        <v>5</v>
      </c>
      <c r="F5" s="1">
        <v>5</v>
      </c>
      <c r="G5" s="1">
        <v>4</v>
      </c>
      <c r="H5" s="1">
        <v>4</v>
      </c>
      <c r="I5" s="1">
        <v>4</v>
      </c>
      <c r="J5" s="1">
        <v>3</v>
      </c>
      <c r="K5" s="1">
        <v>5</v>
      </c>
      <c r="L5" s="1">
        <v>4</v>
      </c>
      <c r="M5" s="1">
        <v>4</v>
      </c>
    </row>
    <row r="6" spans="1:13">
      <c r="A6" s="1" t="s">
        <v>55</v>
      </c>
      <c r="B6" s="1">
        <v>5</v>
      </c>
      <c r="C6" s="1">
        <v>5</v>
      </c>
      <c r="D6" s="1">
        <v>5</v>
      </c>
      <c r="E6" s="1">
        <v>5</v>
      </c>
      <c r="F6" s="1">
        <v>5</v>
      </c>
      <c r="G6" s="1">
        <v>5</v>
      </c>
      <c r="H6" s="1">
        <v>4</v>
      </c>
      <c r="I6" s="1">
        <v>5</v>
      </c>
      <c r="J6" s="1">
        <v>4</v>
      </c>
      <c r="K6" s="1">
        <v>5</v>
      </c>
      <c r="L6" s="1">
        <v>4</v>
      </c>
      <c r="M6" s="1">
        <v>4</v>
      </c>
    </row>
    <row r="7" spans="1:13">
      <c r="A7" s="1" t="s">
        <v>56</v>
      </c>
      <c r="B7" s="1">
        <v>5</v>
      </c>
      <c r="C7" s="1">
        <v>5</v>
      </c>
      <c r="D7" s="1">
        <v>5</v>
      </c>
      <c r="E7" s="1">
        <v>5</v>
      </c>
      <c r="F7" s="1">
        <v>4</v>
      </c>
      <c r="G7" s="1">
        <v>4</v>
      </c>
      <c r="H7" s="1">
        <v>5</v>
      </c>
      <c r="I7" s="1">
        <v>5</v>
      </c>
      <c r="J7" s="1">
        <v>4</v>
      </c>
      <c r="K7" s="1">
        <v>5</v>
      </c>
      <c r="L7" s="1">
        <v>4</v>
      </c>
      <c r="M7" s="1">
        <v>4</v>
      </c>
    </row>
    <row r="8" spans="1:13">
      <c r="A8" s="1" t="s">
        <v>57</v>
      </c>
      <c r="B8" s="1">
        <v>4</v>
      </c>
      <c r="C8" s="1">
        <v>5</v>
      </c>
      <c r="D8" s="1">
        <v>5</v>
      </c>
      <c r="E8" s="1">
        <v>5</v>
      </c>
      <c r="F8" s="1">
        <v>5</v>
      </c>
      <c r="G8" s="1">
        <v>4</v>
      </c>
      <c r="H8" s="1">
        <v>4</v>
      </c>
      <c r="I8" s="1">
        <v>5</v>
      </c>
      <c r="J8" s="1">
        <v>4</v>
      </c>
      <c r="K8" s="1">
        <v>5</v>
      </c>
      <c r="L8" s="1">
        <v>5</v>
      </c>
      <c r="M8" s="1">
        <v>4</v>
      </c>
    </row>
    <row r="9" spans="1:13">
      <c r="A9" s="1" t="s">
        <v>58</v>
      </c>
      <c r="B9" s="1">
        <v>4</v>
      </c>
      <c r="C9" s="1">
        <v>5</v>
      </c>
      <c r="D9" s="1">
        <v>5</v>
      </c>
      <c r="E9" s="1">
        <v>5</v>
      </c>
      <c r="F9" s="1">
        <v>4</v>
      </c>
      <c r="G9" s="1">
        <v>4</v>
      </c>
      <c r="H9" s="1">
        <v>4</v>
      </c>
      <c r="I9" s="1">
        <v>5</v>
      </c>
      <c r="J9" s="1">
        <v>4</v>
      </c>
      <c r="K9" s="1">
        <v>5</v>
      </c>
      <c r="L9" s="1">
        <v>4</v>
      </c>
      <c r="M9" s="1">
        <v>4</v>
      </c>
    </row>
    <row r="10" spans="1:13">
      <c r="A10" s="1" t="s">
        <v>59</v>
      </c>
      <c r="B10" s="1">
        <v>4</v>
      </c>
      <c r="C10" s="1">
        <v>5</v>
      </c>
      <c r="D10" s="1">
        <v>4</v>
      </c>
      <c r="E10" s="1">
        <v>5</v>
      </c>
      <c r="F10" s="1">
        <v>4</v>
      </c>
      <c r="G10" s="1">
        <v>4</v>
      </c>
      <c r="H10" s="1">
        <v>4</v>
      </c>
      <c r="I10" s="1">
        <v>4</v>
      </c>
      <c r="J10" s="1">
        <v>3</v>
      </c>
      <c r="K10" s="1">
        <v>5</v>
      </c>
      <c r="L10" s="1">
        <v>5</v>
      </c>
      <c r="M10" s="1">
        <v>4</v>
      </c>
    </row>
    <row r="11" spans="1:13">
      <c r="A11" s="1" t="s">
        <v>60</v>
      </c>
      <c r="B11" s="1">
        <v>4</v>
      </c>
      <c r="C11" s="1">
        <v>5</v>
      </c>
      <c r="D11" s="1">
        <v>5</v>
      </c>
      <c r="E11" s="1">
        <v>5</v>
      </c>
      <c r="F11" s="1">
        <v>5</v>
      </c>
      <c r="G11" s="1">
        <v>4</v>
      </c>
      <c r="H11" s="1">
        <v>4</v>
      </c>
      <c r="I11" s="1">
        <v>4</v>
      </c>
      <c r="J11" s="1">
        <v>3</v>
      </c>
      <c r="K11" s="1">
        <v>5</v>
      </c>
      <c r="L11" s="1">
        <v>5</v>
      </c>
      <c r="M11" s="1">
        <v>5</v>
      </c>
    </row>
    <row r="12" spans="1:13">
      <c r="A12" s="1" t="s">
        <v>61</v>
      </c>
      <c r="B12" s="1">
        <v>4</v>
      </c>
      <c r="C12" s="1">
        <v>5</v>
      </c>
      <c r="D12" s="1">
        <v>5</v>
      </c>
      <c r="E12" s="1">
        <v>5</v>
      </c>
      <c r="F12" s="1">
        <v>5</v>
      </c>
      <c r="G12" s="1">
        <v>4</v>
      </c>
      <c r="H12" s="1">
        <v>5</v>
      </c>
      <c r="I12" s="1">
        <v>4</v>
      </c>
      <c r="J12" s="1">
        <v>3</v>
      </c>
      <c r="K12" s="1">
        <v>5</v>
      </c>
      <c r="L12" s="1">
        <v>4</v>
      </c>
      <c r="M12" s="1">
        <v>4</v>
      </c>
    </row>
    <row r="13" spans="1:13">
      <c r="A13" s="1" t="s">
        <v>62</v>
      </c>
      <c r="B13" s="1">
        <v>4</v>
      </c>
      <c r="C13" s="1">
        <v>5</v>
      </c>
      <c r="D13" s="1">
        <v>4</v>
      </c>
      <c r="E13" s="1">
        <v>5</v>
      </c>
      <c r="F13" s="1">
        <v>4</v>
      </c>
      <c r="G13" s="1">
        <v>3</v>
      </c>
      <c r="H13" s="1">
        <v>4</v>
      </c>
      <c r="I13" s="1">
        <v>4</v>
      </c>
      <c r="J13" s="1">
        <v>3</v>
      </c>
      <c r="K13" s="1">
        <v>5</v>
      </c>
      <c r="L13" s="1">
        <v>5</v>
      </c>
      <c r="M13" s="1">
        <v>4</v>
      </c>
    </row>
    <row r="14" spans="1:13">
      <c r="A14" s="1" t="s">
        <v>63</v>
      </c>
      <c r="B14" s="1">
        <v>5</v>
      </c>
      <c r="C14" s="1">
        <v>5</v>
      </c>
      <c r="D14" s="1">
        <v>5</v>
      </c>
      <c r="E14" s="1">
        <v>5</v>
      </c>
      <c r="F14" s="1">
        <v>4</v>
      </c>
      <c r="G14" s="1">
        <v>4</v>
      </c>
      <c r="H14" s="1">
        <v>5</v>
      </c>
      <c r="I14" s="1">
        <v>5</v>
      </c>
      <c r="J14" s="1">
        <v>4</v>
      </c>
      <c r="K14" s="1">
        <v>5</v>
      </c>
      <c r="L14" s="1">
        <v>5</v>
      </c>
      <c r="M14" s="1">
        <v>4</v>
      </c>
    </row>
    <row r="15" spans="1:13">
      <c r="A15" s="1" t="s">
        <v>64</v>
      </c>
      <c r="B15" s="1">
        <v>4</v>
      </c>
      <c r="C15" s="1">
        <v>4</v>
      </c>
      <c r="D15" s="1">
        <v>4</v>
      </c>
      <c r="E15" s="1">
        <v>5</v>
      </c>
      <c r="F15" s="1">
        <v>5</v>
      </c>
      <c r="G15" s="1">
        <v>5</v>
      </c>
      <c r="H15" s="1">
        <v>5</v>
      </c>
      <c r="I15" s="1">
        <v>5</v>
      </c>
      <c r="J15" s="1">
        <v>4</v>
      </c>
      <c r="K15" s="1">
        <v>5</v>
      </c>
      <c r="L15" s="1">
        <v>5</v>
      </c>
      <c r="M15" s="1">
        <v>4</v>
      </c>
    </row>
    <row r="16" spans="1:13">
      <c r="A16" s="1" t="s">
        <v>65</v>
      </c>
      <c r="B16" s="1">
        <v>5</v>
      </c>
      <c r="C16" s="1">
        <v>5</v>
      </c>
      <c r="D16" s="1">
        <v>4</v>
      </c>
      <c r="E16" s="1">
        <v>5</v>
      </c>
      <c r="F16" s="1">
        <v>5</v>
      </c>
      <c r="G16" s="1">
        <v>5</v>
      </c>
      <c r="H16" s="1">
        <v>5</v>
      </c>
      <c r="I16" s="1">
        <v>5</v>
      </c>
      <c r="J16" s="1">
        <v>4</v>
      </c>
      <c r="K16" s="1">
        <v>5</v>
      </c>
      <c r="L16" s="1">
        <v>5</v>
      </c>
      <c r="M16" s="1">
        <v>4</v>
      </c>
    </row>
    <row r="17" spans="1:13">
      <c r="A17" s="1" t="s">
        <v>66</v>
      </c>
      <c r="B17" s="1">
        <v>5</v>
      </c>
      <c r="C17" s="1">
        <v>5</v>
      </c>
      <c r="D17" s="1">
        <v>5</v>
      </c>
      <c r="E17" s="1">
        <v>5</v>
      </c>
      <c r="F17" s="1">
        <v>4</v>
      </c>
      <c r="G17" s="1">
        <v>4</v>
      </c>
      <c r="H17" s="1">
        <v>4</v>
      </c>
      <c r="I17" s="1">
        <v>4</v>
      </c>
      <c r="J17" s="1">
        <v>3</v>
      </c>
      <c r="K17" s="1">
        <v>5</v>
      </c>
      <c r="L17" s="1">
        <v>4</v>
      </c>
      <c r="M17" s="1">
        <v>4</v>
      </c>
    </row>
    <row r="18" spans="1:13">
      <c r="A18" s="1" t="s">
        <v>67</v>
      </c>
      <c r="B18" s="1">
        <v>5</v>
      </c>
      <c r="C18" s="1">
        <v>5</v>
      </c>
      <c r="D18" s="1">
        <v>5</v>
      </c>
      <c r="E18" s="1">
        <v>5</v>
      </c>
      <c r="F18" s="1">
        <v>5</v>
      </c>
      <c r="G18" s="1">
        <v>4</v>
      </c>
      <c r="H18" s="1">
        <v>4</v>
      </c>
      <c r="I18" s="1">
        <v>4</v>
      </c>
      <c r="J18" s="1">
        <v>3</v>
      </c>
      <c r="K18" s="1">
        <v>5</v>
      </c>
      <c r="L18" s="1">
        <v>4</v>
      </c>
      <c r="M18" s="1">
        <v>5</v>
      </c>
    </row>
    <row r="19" spans="1:13">
      <c r="A19" s="1" t="s">
        <v>68</v>
      </c>
      <c r="B19" s="1">
        <v>5</v>
      </c>
      <c r="C19" s="1">
        <v>5</v>
      </c>
      <c r="D19" s="1">
        <v>5</v>
      </c>
      <c r="E19" s="1">
        <v>5</v>
      </c>
      <c r="F19" s="1">
        <v>5</v>
      </c>
      <c r="G19" s="1">
        <v>4</v>
      </c>
      <c r="H19" s="1">
        <v>4</v>
      </c>
      <c r="I19" s="1">
        <v>4</v>
      </c>
      <c r="J19" s="1">
        <v>3</v>
      </c>
      <c r="K19" s="1">
        <v>5</v>
      </c>
      <c r="L19" s="1">
        <v>5</v>
      </c>
      <c r="M19" s="1">
        <v>4</v>
      </c>
    </row>
    <row r="20" spans="1:13">
      <c r="A20" s="1" t="s">
        <v>69</v>
      </c>
      <c r="B20" s="1">
        <v>5</v>
      </c>
      <c r="C20" s="1">
        <v>5</v>
      </c>
      <c r="D20" s="1">
        <v>5</v>
      </c>
      <c r="E20" s="1">
        <v>5</v>
      </c>
      <c r="F20" s="1">
        <v>5</v>
      </c>
      <c r="G20" s="1">
        <v>4</v>
      </c>
      <c r="H20" s="1">
        <v>5</v>
      </c>
      <c r="I20" s="1">
        <v>5</v>
      </c>
      <c r="J20" s="1">
        <v>4</v>
      </c>
      <c r="K20" s="1">
        <v>5</v>
      </c>
      <c r="L20" s="1">
        <v>4</v>
      </c>
      <c r="M20" s="1">
        <v>4</v>
      </c>
    </row>
    <row r="21" spans="1:13">
      <c r="A21" s="1" t="s">
        <v>70</v>
      </c>
      <c r="B21" s="1">
        <v>4</v>
      </c>
      <c r="C21" s="1">
        <v>5</v>
      </c>
      <c r="D21" s="1">
        <v>4</v>
      </c>
      <c r="E21" s="1">
        <v>5</v>
      </c>
      <c r="F21" s="1">
        <v>4</v>
      </c>
      <c r="G21" s="1">
        <v>4</v>
      </c>
      <c r="H21" s="1">
        <v>5</v>
      </c>
      <c r="I21" s="1">
        <v>5</v>
      </c>
      <c r="J21" s="1">
        <v>4</v>
      </c>
      <c r="K21" s="1">
        <v>5</v>
      </c>
      <c r="L21" s="1">
        <v>4</v>
      </c>
      <c r="M21" s="1">
        <v>5</v>
      </c>
    </row>
    <row r="22" spans="1:13">
      <c r="A22" s="1" t="s">
        <v>71</v>
      </c>
      <c r="B22" s="1">
        <v>4</v>
      </c>
      <c r="C22" s="1">
        <v>5</v>
      </c>
      <c r="D22" s="1">
        <v>5</v>
      </c>
      <c r="E22" s="1">
        <v>5</v>
      </c>
      <c r="F22" s="1">
        <v>4</v>
      </c>
      <c r="G22" s="1">
        <v>4</v>
      </c>
      <c r="H22" s="1">
        <v>5</v>
      </c>
      <c r="I22" s="1">
        <v>5</v>
      </c>
      <c r="J22" s="1">
        <v>4</v>
      </c>
      <c r="K22" s="1">
        <v>5</v>
      </c>
      <c r="L22" s="1">
        <v>4</v>
      </c>
      <c r="M22" s="1">
        <v>4</v>
      </c>
    </row>
    <row r="23" spans="1:13">
      <c r="A23" s="1" t="s">
        <v>72</v>
      </c>
      <c r="B23" s="1">
        <v>5</v>
      </c>
      <c r="C23" s="1">
        <v>5</v>
      </c>
      <c r="D23" s="1">
        <v>4</v>
      </c>
      <c r="E23" s="1">
        <v>5</v>
      </c>
      <c r="F23" s="1">
        <v>4</v>
      </c>
      <c r="G23" s="1">
        <v>4</v>
      </c>
      <c r="H23" s="1">
        <v>4</v>
      </c>
      <c r="I23" s="1">
        <v>5</v>
      </c>
      <c r="J23" s="1">
        <v>4</v>
      </c>
      <c r="K23" s="1">
        <v>5</v>
      </c>
      <c r="L23" s="1">
        <v>4</v>
      </c>
      <c r="M23" s="1">
        <v>4</v>
      </c>
    </row>
    <row r="24" spans="1:13">
      <c r="A24" s="1" t="s">
        <v>73</v>
      </c>
      <c r="B24" s="1">
        <v>5</v>
      </c>
      <c r="C24" s="1">
        <v>5</v>
      </c>
      <c r="D24" s="1">
        <v>4</v>
      </c>
      <c r="E24" s="1">
        <v>5</v>
      </c>
      <c r="F24" s="1">
        <v>4</v>
      </c>
      <c r="G24" s="1">
        <v>4</v>
      </c>
      <c r="H24" s="1">
        <v>5</v>
      </c>
      <c r="I24" s="1">
        <v>5</v>
      </c>
      <c r="J24" s="1">
        <v>4</v>
      </c>
      <c r="K24" s="1">
        <v>5</v>
      </c>
      <c r="L24" s="1">
        <v>4</v>
      </c>
      <c r="M24" s="1">
        <v>4</v>
      </c>
    </row>
    <row r="25" spans="1:13">
      <c r="A25" s="1" t="s">
        <v>74</v>
      </c>
      <c r="B25" s="1">
        <v>5</v>
      </c>
      <c r="C25" s="1">
        <v>5</v>
      </c>
      <c r="D25" s="1">
        <v>5</v>
      </c>
      <c r="E25" s="1">
        <v>4</v>
      </c>
      <c r="F25" s="1">
        <v>4</v>
      </c>
      <c r="G25" s="1">
        <v>4</v>
      </c>
      <c r="H25" s="1">
        <v>4</v>
      </c>
      <c r="I25" s="1">
        <v>4</v>
      </c>
      <c r="J25" s="1">
        <v>3</v>
      </c>
      <c r="K25" s="1">
        <v>5</v>
      </c>
      <c r="L25" s="1">
        <v>5</v>
      </c>
      <c r="M25" s="1">
        <v>4</v>
      </c>
    </row>
    <row r="26" spans="1:13">
      <c r="A26" s="1" t="s">
        <v>75</v>
      </c>
      <c r="B26" s="1">
        <v>5</v>
      </c>
      <c r="C26" s="1">
        <v>5</v>
      </c>
      <c r="D26" s="1">
        <v>5</v>
      </c>
      <c r="E26" s="1">
        <v>4</v>
      </c>
      <c r="F26" s="1">
        <v>4</v>
      </c>
      <c r="G26" s="1">
        <v>4</v>
      </c>
      <c r="H26" s="1">
        <v>5</v>
      </c>
      <c r="I26" s="1">
        <v>4</v>
      </c>
      <c r="J26" s="1">
        <v>3</v>
      </c>
      <c r="K26" s="1">
        <v>5</v>
      </c>
      <c r="L26" s="1">
        <v>4</v>
      </c>
      <c r="M26" s="1">
        <v>4</v>
      </c>
    </row>
    <row r="27" spans="1:13">
      <c r="A27" s="1" t="s">
        <v>76</v>
      </c>
      <c r="B27" s="1">
        <v>5</v>
      </c>
      <c r="C27" s="1">
        <v>5</v>
      </c>
      <c r="D27" s="1">
        <v>5</v>
      </c>
      <c r="E27" s="1">
        <v>5</v>
      </c>
      <c r="F27" s="1">
        <v>4</v>
      </c>
      <c r="G27" s="1">
        <v>4</v>
      </c>
      <c r="H27" s="1">
        <v>5</v>
      </c>
      <c r="I27" s="1">
        <v>4</v>
      </c>
      <c r="J27" s="1">
        <v>4</v>
      </c>
      <c r="K27" s="1">
        <v>5</v>
      </c>
      <c r="L27" s="1">
        <v>5</v>
      </c>
      <c r="M27" s="1">
        <v>4</v>
      </c>
    </row>
    <row r="28" spans="1:13">
      <c r="A28" s="1" t="s">
        <v>77</v>
      </c>
      <c r="B28" s="1">
        <v>4</v>
      </c>
      <c r="C28" s="1">
        <v>5</v>
      </c>
      <c r="D28" s="1">
        <v>5</v>
      </c>
      <c r="E28" s="1">
        <v>5</v>
      </c>
      <c r="F28" s="1">
        <v>5</v>
      </c>
      <c r="G28" s="1">
        <v>4</v>
      </c>
      <c r="H28" s="1">
        <v>5</v>
      </c>
      <c r="I28" s="1">
        <v>4</v>
      </c>
      <c r="J28" s="1">
        <v>3</v>
      </c>
      <c r="K28" s="1">
        <v>5</v>
      </c>
      <c r="L28" s="1">
        <v>5</v>
      </c>
      <c r="M28" s="1">
        <v>4</v>
      </c>
    </row>
    <row r="29" spans="1:13">
      <c r="A29" s="1" t="s">
        <v>78</v>
      </c>
      <c r="B29" s="1">
        <v>5</v>
      </c>
      <c r="C29" s="1">
        <v>5</v>
      </c>
      <c r="D29" s="1">
        <v>5</v>
      </c>
      <c r="E29" s="1">
        <v>5</v>
      </c>
      <c r="F29" s="1">
        <v>4</v>
      </c>
      <c r="G29" s="1">
        <v>4</v>
      </c>
      <c r="H29" s="1">
        <v>5</v>
      </c>
      <c r="I29" s="1">
        <v>5</v>
      </c>
      <c r="J29" s="1">
        <v>4</v>
      </c>
      <c r="K29" s="1">
        <v>5</v>
      </c>
      <c r="L29" s="1">
        <v>4</v>
      </c>
      <c r="M29" s="1">
        <v>4</v>
      </c>
    </row>
    <row r="30" spans="1:13">
      <c r="A30" s="1" t="s">
        <v>79</v>
      </c>
      <c r="B30" s="1">
        <v>5</v>
      </c>
      <c r="C30" s="1">
        <v>5</v>
      </c>
      <c r="D30" s="1">
        <v>4</v>
      </c>
      <c r="E30" s="1">
        <v>5</v>
      </c>
      <c r="F30" s="1">
        <v>5</v>
      </c>
      <c r="G30" s="1">
        <v>4</v>
      </c>
      <c r="H30" s="1">
        <v>4</v>
      </c>
      <c r="I30" s="1">
        <v>5</v>
      </c>
      <c r="J30" s="1">
        <v>4</v>
      </c>
      <c r="K30" s="1">
        <v>5</v>
      </c>
      <c r="L30" s="1">
        <v>4</v>
      </c>
      <c r="M30" s="1">
        <v>4</v>
      </c>
    </row>
    <row r="31" spans="1:13">
      <c r="A31" s="1" t="s">
        <v>80</v>
      </c>
      <c r="B31" s="1">
        <v>5</v>
      </c>
      <c r="C31" s="1">
        <v>5</v>
      </c>
      <c r="D31" s="1">
        <v>4</v>
      </c>
      <c r="E31" s="1">
        <v>5</v>
      </c>
      <c r="F31" s="1">
        <v>5</v>
      </c>
      <c r="G31" s="1">
        <v>4</v>
      </c>
      <c r="H31" s="1">
        <v>5</v>
      </c>
      <c r="I31" s="1">
        <v>5</v>
      </c>
      <c r="J31" s="1">
        <v>4</v>
      </c>
      <c r="K31" s="1">
        <v>5</v>
      </c>
      <c r="L31" s="1">
        <v>5</v>
      </c>
      <c r="M31" s="1">
        <v>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activeCell="H19" sqref="H19"/>
    </sheetView>
  </sheetViews>
  <sheetFormatPr baseColWidth="10" defaultColWidth="8.83203125" defaultRowHeight="14"/>
  <cols>
    <col min="7" max="7" width="12.83203125"/>
  </cols>
  <sheetData>
    <row r="1" spans="1:7">
      <c r="A1" s="1" t="s">
        <v>81</v>
      </c>
      <c r="B1" s="1"/>
      <c r="C1" s="1"/>
      <c r="D1" s="1"/>
      <c r="E1" s="1"/>
      <c r="F1" s="1"/>
      <c r="G1" s="1"/>
    </row>
    <row r="2" spans="1:7">
      <c r="A2" s="1"/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</row>
    <row r="3" spans="1:7">
      <c r="A3" s="1" t="s">
        <v>88</v>
      </c>
      <c r="B3" s="1">
        <v>30</v>
      </c>
      <c r="C3" s="1">
        <v>4.63</v>
      </c>
      <c r="D3" s="1">
        <v>0.49</v>
      </c>
      <c r="E3" s="1">
        <v>4</v>
      </c>
      <c r="F3" s="1">
        <v>5</v>
      </c>
      <c r="G3" s="1">
        <f>D3/C3</f>
        <v>0.10583153347732201</v>
      </c>
    </row>
    <row r="4" spans="1:7">
      <c r="A4" s="1" t="s">
        <v>89</v>
      </c>
      <c r="B4" s="1">
        <v>30</v>
      </c>
      <c r="C4" s="1">
        <v>4.97</v>
      </c>
      <c r="D4" s="1">
        <v>0.183</v>
      </c>
      <c r="E4" s="1">
        <v>4</v>
      </c>
      <c r="F4" s="1">
        <v>5</v>
      </c>
      <c r="G4" s="1">
        <f t="shared" ref="G4:G14" si="0">D4/C4</f>
        <v>3.6820925553319901E-2</v>
      </c>
    </row>
    <row r="5" spans="1:7">
      <c r="A5" s="1" t="s">
        <v>90</v>
      </c>
      <c r="B5" s="1">
        <v>30</v>
      </c>
      <c r="C5" s="1">
        <v>4.67</v>
      </c>
      <c r="D5" s="1">
        <v>0.47899999999999998</v>
      </c>
      <c r="E5" s="1">
        <v>4</v>
      </c>
      <c r="F5" s="1">
        <v>5</v>
      </c>
      <c r="G5" s="1">
        <f t="shared" si="0"/>
        <v>0.10256959314775201</v>
      </c>
    </row>
    <row r="6" spans="1:7">
      <c r="A6" s="1" t="s">
        <v>91</v>
      </c>
      <c r="B6" s="1">
        <v>30</v>
      </c>
      <c r="C6" s="1">
        <v>4.87</v>
      </c>
      <c r="D6" s="1">
        <v>0.34599999999999997</v>
      </c>
      <c r="E6" s="1">
        <v>4</v>
      </c>
      <c r="F6" s="1">
        <v>5</v>
      </c>
      <c r="G6" s="1">
        <f t="shared" si="0"/>
        <v>7.1047227926077997E-2</v>
      </c>
    </row>
    <row r="7" spans="1:7">
      <c r="A7" s="1" t="s">
        <v>92</v>
      </c>
      <c r="B7" s="1">
        <v>30</v>
      </c>
      <c r="C7" s="1">
        <v>4.4000000000000004</v>
      </c>
      <c r="D7" s="1">
        <v>0.56299999999999994</v>
      </c>
      <c r="E7" s="1">
        <v>3</v>
      </c>
      <c r="F7" s="1">
        <v>5</v>
      </c>
      <c r="G7" s="1">
        <f t="shared" si="0"/>
        <v>0.12795454545454499</v>
      </c>
    </row>
    <row r="8" spans="1:7">
      <c r="A8" s="1" t="s">
        <v>93</v>
      </c>
      <c r="B8" s="1">
        <v>30</v>
      </c>
      <c r="C8" s="1">
        <v>4.07</v>
      </c>
      <c r="D8" s="1">
        <v>0.36499999999999999</v>
      </c>
      <c r="E8" s="1">
        <v>3</v>
      </c>
      <c r="F8" s="1">
        <v>5</v>
      </c>
      <c r="G8" s="1">
        <f t="shared" si="0"/>
        <v>8.9680589680589701E-2</v>
      </c>
    </row>
    <row r="9" spans="1:7">
      <c r="A9" s="1" t="s">
        <v>94</v>
      </c>
      <c r="B9" s="1">
        <v>30</v>
      </c>
      <c r="C9" s="1">
        <v>4.53</v>
      </c>
      <c r="D9" s="1">
        <v>0.50700000000000001</v>
      </c>
      <c r="E9" s="1">
        <v>4</v>
      </c>
      <c r="F9" s="1">
        <v>5</v>
      </c>
      <c r="G9" s="1">
        <f t="shared" si="0"/>
        <v>0.111920529801324</v>
      </c>
    </row>
    <row r="10" spans="1:7">
      <c r="A10" s="1" t="s">
        <v>95</v>
      </c>
      <c r="B10" s="1">
        <v>30</v>
      </c>
      <c r="C10" s="1">
        <v>4.57</v>
      </c>
      <c r="D10" s="1">
        <v>0.504</v>
      </c>
      <c r="E10" s="1">
        <v>4</v>
      </c>
      <c r="F10" s="1">
        <v>5</v>
      </c>
      <c r="G10" s="1">
        <f t="shared" si="0"/>
        <v>0.110284463894967</v>
      </c>
    </row>
    <row r="11" spans="1:7">
      <c r="A11" s="1" t="s">
        <v>96</v>
      </c>
      <c r="B11" s="1">
        <v>30</v>
      </c>
      <c r="C11" s="1">
        <v>3.57</v>
      </c>
      <c r="D11" s="1">
        <v>0.504</v>
      </c>
      <c r="E11" s="1">
        <v>3</v>
      </c>
      <c r="F11" s="1">
        <v>4</v>
      </c>
      <c r="G11" s="1">
        <f t="shared" si="0"/>
        <v>0.14117647058823499</v>
      </c>
    </row>
    <row r="12" spans="1:7">
      <c r="A12" s="1" t="s">
        <v>97</v>
      </c>
      <c r="B12" s="1">
        <v>30</v>
      </c>
      <c r="C12" s="1">
        <v>4.97</v>
      </c>
      <c r="D12" s="1">
        <v>0.183</v>
      </c>
      <c r="E12" s="1">
        <v>4</v>
      </c>
      <c r="F12" s="1">
        <v>5</v>
      </c>
      <c r="G12" s="1">
        <f t="shared" si="0"/>
        <v>3.6820925553319901E-2</v>
      </c>
    </row>
    <row r="13" spans="1:7">
      <c r="A13" s="1" t="s">
        <v>98</v>
      </c>
      <c r="B13" s="1">
        <v>30</v>
      </c>
      <c r="C13" s="1">
        <v>4.43</v>
      </c>
      <c r="D13" s="1">
        <v>0.56799999999999995</v>
      </c>
      <c r="E13" s="1">
        <v>3</v>
      </c>
      <c r="F13" s="1">
        <v>5</v>
      </c>
      <c r="G13" s="1">
        <f t="shared" si="0"/>
        <v>0.128216704288939</v>
      </c>
    </row>
    <row r="14" spans="1:7">
      <c r="A14" s="1" t="s">
        <v>99</v>
      </c>
      <c r="B14" s="1">
        <v>30</v>
      </c>
      <c r="C14" s="1">
        <v>4.13</v>
      </c>
      <c r="D14" s="1">
        <v>0.34599999999999997</v>
      </c>
      <c r="E14" s="1">
        <v>4</v>
      </c>
      <c r="F14" s="1">
        <v>5</v>
      </c>
      <c r="G14" s="1">
        <f t="shared" si="0"/>
        <v>8.3777239709443105E-2</v>
      </c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</dc:creator>
  <cp:lastModifiedBy>海涛 吴</cp:lastModifiedBy>
  <dcterms:created xsi:type="dcterms:W3CDTF">2025-11-19T07:11:00Z</dcterms:created>
  <dcterms:modified xsi:type="dcterms:W3CDTF">2026-04-02T06:02:03Z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1557A84E44714193A5BF53F1525E7548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