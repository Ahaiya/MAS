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/>
  <mc:AlternateContent xmlns:mc="http://schemas.openxmlformats.org/markup-compatibility/2006">
    <mc:Choice Requires="x15">
      <x15ac:absPath xmlns:x15ac="http://schemas.microsoft.com/office/spreadsheetml/2010/11/ac" url="/Users/ahai/Downloads/原始数据及评分结果/创客马拉松/创客马拉松评分结果/"/>
    </mc:Choice>
  </mc:AlternateContent>
  <xr:revisionPtr revIDLastSave="0" documentId="13_ncr:1_{BEB4AC3C-EAE3-9F41-A1D8-40C4BA174C85}" xr6:coauthVersionLast="47" xr6:coauthVersionMax="47" xr10:uidLastSave="{00000000-0000-0000-0000-000000000000}"/>
  <bookViews>
    <workbookView xWindow="0" yWindow="680" windowWidth="34200" windowHeight="202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" l="1"/>
  <c r="G13" i="3"/>
  <c r="G12" i="3"/>
  <c r="G11" i="3"/>
  <c r="G10" i="3"/>
  <c r="G9" i="3"/>
  <c r="G8" i="3"/>
  <c r="G7" i="3"/>
  <c r="G6" i="3"/>
  <c r="G5" i="3"/>
  <c r="G4" i="3"/>
  <c r="G3" i="3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F18" i="1" s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E16" i="1"/>
  <c r="AE20" i="1" s="1"/>
  <c r="AD16" i="1"/>
  <c r="AD20" i="1" s="1"/>
  <c r="AC16" i="1"/>
  <c r="AC20" i="1" s="1"/>
  <c r="AB16" i="1"/>
  <c r="AB20" i="1" s="1"/>
  <c r="AA16" i="1"/>
  <c r="AA20" i="1" s="1"/>
  <c r="Z16" i="1"/>
  <c r="Z20" i="1" s="1"/>
  <c r="Y16" i="1"/>
  <c r="Y20" i="1" s="1"/>
  <c r="X16" i="1"/>
  <c r="X20" i="1" s="1"/>
  <c r="W16" i="1"/>
  <c r="W20" i="1" s="1"/>
  <c r="V16" i="1"/>
  <c r="U16" i="1"/>
  <c r="U20" i="1" s="1"/>
  <c r="T16" i="1"/>
  <c r="T20" i="1" s="1"/>
  <c r="S16" i="1"/>
  <c r="S20" i="1" s="1"/>
  <c r="R16" i="1"/>
  <c r="R20" i="1" s="1"/>
  <c r="Q16" i="1"/>
  <c r="Q20" i="1" s="1"/>
  <c r="P16" i="1"/>
  <c r="P20" i="1" s="1"/>
  <c r="O16" i="1"/>
  <c r="O20" i="1" s="1"/>
  <c r="N16" i="1"/>
  <c r="N20" i="1" s="1"/>
  <c r="M16" i="1"/>
  <c r="M20" i="1" s="1"/>
  <c r="L16" i="1"/>
  <c r="L20" i="1" s="1"/>
  <c r="K16" i="1"/>
  <c r="K20" i="1" s="1"/>
  <c r="J16" i="1"/>
  <c r="J20" i="1" s="1"/>
  <c r="I16" i="1"/>
  <c r="I20" i="1" s="1"/>
  <c r="H16" i="1"/>
  <c r="H20" i="1" s="1"/>
  <c r="G16" i="1"/>
  <c r="G20" i="1" s="1"/>
  <c r="F16" i="1"/>
  <c r="F20" i="1" s="1"/>
  <c r="E16" i="1"/>
  <c r="E20" i="1" s="1"/>
  <c r="D16" i="1"/>
  <c r="D20" i="1" s="1"/>
  <c r="C16" i="1"/>
  <c r="C20" i="1" s="1"/>
  <c r="B16" i="1"/>
  <c r="B20" i="1" l="1"/>
  <c r="D21" i="1" s="1"/>
  <c r="V20" i="1"/>
  <c r="L21" i="1" s="1"/>
  <c r="AF17" i="1"/>
  <c r="X21" i="1"/>
  <c r="AB21" i="1"/>
  <c r="AF19" i="1"/>
  <c r="AF16" i="1"/>
  <c r="Y21" i="1"/>
  <c r="G21" i="1"/>
  <c r="Q21" i="1"/>
  <c r="AA21" i="1"/>
  <c r="O21" i="1"/>
  <c r="R21" i="1"/>
  <c r="S21" i="1"/>
  <c r="AC21" i="1"/>
  <c r="AD21" i="1"/>
  <c r="V21" i="1"/>
  <c r="E21" i="1"/>
  <c r="H21" i="1"/>
  <c r="J21" i="1"/>
  <c r="K21" i="1"/>
  <c r="U21" i="1"/>
  <c r="C21" i="1"/>
  <c r="M21" i="1"/>
  <c r="W21" i="1"/>
  <c r="AF20" i="1" l="1"/>
  <c r="AE21" i="1"/>
  <c r="T21" i="1"/>
  <c r="F21" i="1"/>
  <c r="I21" i="1"/>
  <c r="Z21" i="1"/>
  <c r="B21" i="1"/>
  <c r="P21" i="1"/>
  <c r="N21" i="1"/>
</calcChain>
</file>

<file path=xl/sharedStrings.xml><?xml version="1.0" encoding="utf-8"?>
<sst xmlns="http://schemas.openxmlformats.org/spreadsheetml/2006/main" count="114" uniqueCount="105">
  <si>
    <t>第1组</t>
  </si>
  <si>
    <t>第2组</t>
  </si>
  <si>
    <t>第3组</t>
  </si>
  <si>
    <t>第4组</t>
  </si>
  <si>
    <t>第5组</t>
  </si>
  <si>
    <t>第6组</t>
  </si>
  <si>
    <t>第7组</t>
  </si>
  <si>
    <t>第8组</t>
  </si>
  <si>
    <t>第9组</t>
  </si>
  <si>
    <t>第10组</t>
  </si>
  <si>
    <t>第11组</t>
  </si>
  <si>
    <t>第12组</t>
  </si>
  <si>
    <t>第13组</t>
  </si>
  <si>
    <t>第14组</t>
  </si>
  <si>
    <t>第15组</t>
  </si>
  <si>
    <t>第16组</t>
  </si>
  <si>
    <t>第17组</t>
  </si>
  <si>
    <t>第18组</t>
  </si>
  <si>
    <t>第19组</t>
  </si>
  <si>
    <t>第20组</t>
  </si>
  <si>
    <t>第21组</t>
  </si>
  <si>
    <t>第22组</t>
  </si>
  <si>
    <t>第23组</t>
  </si>
  <si>
    <t>第24组</t>
  </si>
  <si>
    <t>第25组</t>
  </si>
  <si>
    <t>第26组</t>
  </si>
  <si>
    <t>第27组</t>
  </si>
  <si>
    <t>第28组</t>
  </si>
  <si>
    <t>第29组</t>
  </si>
  <si>
    <t>第30组</t>
  </si>
  <si>
    <t>A4-1 用户群体识别的全面性</t>
  </si>
  <si>
    <t>A4-2 痛点定位与需求精准度</t>
  </si>
  <si>
    <t>A4-3 AI协同与伦理反思</t>
  </si>
  <si>
    <t>B1-1 架构逻辑完整性</t>
  </si>
  <si>
    <t>B1-2 可持续与维护性设计</t>
  </si>
  <si>
    <t>B1-3 AI协同效果评估</t>
  </si>
  <si>
    <t>C2-1 风险识别全面性</t>
  </si>
  <si>
    <t>C2-2 应对策略科学性</t>
  </si>
  <si>
    <t>C2-3 风险量化与监控</t>
  </si>
  <si>
    <t>F2-1 伦理问题识别的全面性</t>
  </si>
  <si>
    <t>F2-2 伦理分析框架应用</t>
  </si>
  <si>
    <t>F2-3 社会责任意识与落地</t>
  </si>
  <si>
    <t>A4得分</t>
  </si>
  <si>
    <t>B1得分</t>
  </si>
  <si>
    <t>C2得分</t>
  </si>
  <si>
    <t>F2得分</t>
  </si>
  <si>
    <t>总分</t>
  </si>
  <si>
    <t>排名</t>
  </si>
  <si>
    <t>A4权重</t>
  </si>
  <si>
    <t>B1权重</t>
  </si>
  <si>
    <t>C2权重</t>
  </si>
  <si>
    <t>F2权重</t>
  </si>
  <si>
    <t>C1-1 风险识别全面性</t>
  </si>
  <si>
    <t>C1-2 应对策略科学性</t>
  </si>
  <si>
    <t>C1-3 风险量化与监控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</si>
  <si>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</si>
  <si>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</si>
  <si>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</si>
  <si>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</si>
  <si>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</si>
  <si>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</si>
  <si>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</si>
  <si>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</si>
  <si>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</si>
  <si>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</si>
  <si>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</si>
  <si>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</si>
  <si>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</si>
  <si>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</si>
  <si>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</si>
  <si>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</si>
  <si>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</si>
  <si>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</si>
  <si>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</si>
  <si>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</si>
  <si>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二十一</t>
  </si>
  <si>
    <t>二十二</t>
  </si>
  <si>
    <t>二十三</t>
  </si>
  <si>
    <t>二十四</t>
  </si>
  <si>
    <t>二十五</t>
  </si>
  <si>
    <t>二十六</t>
  </si>
  <si>
    <t>二十七</t>
  </si>
  <si>
    <t>二十八</t>
  </si>
  <si>
    <t>二十九</t>
  </si>
  <si>
    <t>三十</t>
  </si>
  <si>
    <t>描述统计</t>
  </si>
  <si>
    <t>N</t>
  </si>
  <si>
    <t>平均值</t>
  </si>
  <si>
    <t>标准差</t>
  </si>
  <si>
    <t>最小值</t>
  </si>
  <si>
    <t>最大值</t>
  </si>
  <si>
    <t>变异系数</t>
  </si>
  <si>
    <t>A4-1</t>
  </si>
  <si>
    <t>A4-2</t>
  </si>
  <si>
    <t>A4-3</t>
  </si>
  <si>
    <t>B1-1</t>
  </si>
  <si>
    <t>B1-2</t>
  </si>
  <si>
    <t>B1-3</t>
  </si>
  <si>
    <t>C1-1</t>
  </si>
  <si>
    <t>C1-2</t>
  </si>
  <si>
    <t>C1-3</t>
  </si>
  <si>
    <t>F2-1</t>
  </si>
  <si>
    <t>F2-2</t>
  </si>
  <si>
    <t>F2-3</t>
  </si>
  <si>
    <t>所有回答模式相同：复制问题给可调用的智能体、复制答案回复邮百工。没有任何修改，可以认为没有自己的思考。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</si>
</sst>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8"/>
  <sheetViews>
    <sheetView tabSelected="1" workbookViewId="0">
      <selection activeCell="F40" sqref="F40"/>
    </sheetView>
  </sheetViews>
  <sheetFormatPr baseColWidth="10" defaultColWidth="8.83203125" defaultRowHeight="14"/>
  <cols>
    <col min="1" max="1" width="28.83203125" style="1" customWidth="1"/>
    <col min="2" max="2" width="12.83203125" style="1"/>
    <col min="3" max="3" width="8.83203125" style="1"/>
    <col min="4" max="32" width="12.83203125" style="1"/>
    <col min="33" max="16384" width="8.83203125" style="1"/>
  </cols>
  <sheetData>
    <row r="1" spans="1:32">
      <c r="B1" s="1" t="s">
        <v>0</v>
      </c>
      <c r="C1" s="2" t="s">
        <v>1</v>
      </c>
      <c r="D1" s="1" t="s">
        <v>2</v>
      </c>
      <c r="E1" s="3" t="s">
        <v>3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3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2">
      <c r="A2" s="1" t="s">
        <v>30</v>
      </c>
      <c r="B2" s="1">
        <v>4</v>
      </c>
      <c r="C2" s="1">
        <v>1</v>
      </c>
      <c r="D2" s="1">
        <v>3</v>
      </c>
      <c r="E2" s="1">
        <v>2</v>
      </c>
      <c r="F2" s="1">
        <v>3</v>
      </c>
      <c r="G2" s="1">
        <v>3</v>
      </c>
      <c r="H2" s="1">
        <v>4</v>
      </c>
      <c r="I2" s="1">
        <v>4</v>
      </c>
      <c r="J2" s="1">
        <v>4</v>
      </c>
      <c r="K2" s="1">
        <v>4</v>
      </c>
      <c r="L2" s="1">
        <v>4</v>
      </c>
      <c r="M2" s="1">
        <v>3</v>
      </c>
      <c r="N2" s="1">
        <v>3</v>
      </c>
      <c r="O2" s="1">
        <v>3</v>
      </c>
      <c r="P2" s="1">
        <v>3</v>
      </c>
      <c r="Q2" s="1">
        <v>4</v>
      </c>
      <c r="R2" s="1">
        <v>2</v>
      </c>
      <c r="S2" s="1">
        <v>3</v>
      </c>
      <c r="T2" s="1">
        <v>4</v>
      </c>
      <c r="U2" s="1">
        <v>2</v>
      </c>
      <c r="V2" s="1">
        <v>4</v>
      </c>
      <c r="W2" s="1">
        <v>4</v>
      </c>
      <c r="X2" s="1">
        <v>3</v>
      </c>
      <c r="Y2" s="1">
        <v>4</v>
      </c>
      <c r="Z2" s="1">
        <v>3</v>
      </c>
      <c r="AA2" s="1">
        <v>2</v>
      </c>
      <c r="AB2" s="1">
        <v>3</v>
      </c>
      <c r="AC2" s="1">
        <v>5</v>
      </c>
      <c r="AD2" s="1">
        <v>4</v>
      </c>
      <c r="AE2" s="1">
        <v>4</v>
      </c>
    </row>
    <row r="3" spans="1:32">
      <c r="A3" s="1" t="s">
        <v>31</v>
      </c>
      <c r="B3" s="1">
        <v>4</v>
      </c>
      <c r="C3" s="1">
        <v>1</v>
      </c>
      <c r="D3" s="1">
        <v>4</v>
      </c>
      <c r="E3" s="1">
        <v>3</v>
      </c>
      <c r="F3" s="1">
        <v>4</v>
      </c>
      <c r="G3" s="1">
        <v>3</v>
      </c>
      <c r="H3" s="1">
        <v>4</v>
      </c>
      <c r="I3" s="1">
        <v>5</v>
      </c>
      <c r="J3" s="1">
        <v>5</v>
      </c>
      <c r="K3" s="1">
        <v>4</v>
      </c>
      <c r="L3" s="1">
        <v>3</v>
      </c>
      <c r="M3" s="1">
        <v>4</v>
      </c>
      <c r="N3" s="1">
        <v>4</v>
      </c>
      <c r="O3" s="1">
        <v>4</v>
      </c>
      <c r="P3" s="1">
        <v>5</v>
      </c>
      <c r="Q3" s="1">
        <v>3</v>
      </c>
      <c r="R3" s="1">
        <v>2</v>
      </c>
      <c r="S3" s="1">
        <v>4</v>
      </c>
      <c r="T3" s="1">
        <v>3</v>
      </c>
      <c r="U3" s="1">
        <v>4</v>
      </c>
      <c r="V3" s="1">
        <v>4</v>
      </c>
      <c r="W3" s="1">
        <v>5</v>
      </c>
      <c r="X3" s="1">
        <v>3</v>
      </c>
      <c r="Y3" s="1">
        <v>5</v>
      </c>
      <c r="Z3" s="1">
        <v>4</v>
      </c>
      <c r="AA3" s="1">
        <v>2</v>
      </c>
      <c r="AB3" s="1">
        <v>3</v>
      </c>
      <c r="AC3" s="1">
        <v>4</v>
      </c>
      <c r="AD3" s="1">
        <v>3</v>
      </c>
      <c r="AE3" s="1">
        <v>3</v>
      </c>
    </row>
    <row r="4" spans="1:32">
      <c r="A4" s="1" t="s">
        <v>32</v>
      </c>
      <c r="B4" s="1">
        <v>4</v>
      </c>
      <c r="C4" s="1">
        <v>1</v>
      </c>
      <c r="D4" s="1">
        <v>4</v>
      </c>
      <c r="E4" s="1">
        <v>3</v>
      </c>
      <c r="F4" s="1">
        <v>4</v>
      </c>
      <c r="G4" s="1">
        <v>2</v>
      </c>
      <c r="H4" s="1">
        <v>4</v>
      </c>
      <c r="I4" s="1">
        <v>4</v>
      </c>
      <c r="J4" s="1">
        <v>5</v>
      </c>
      <c r="K4" s="1">
        <v>3</v>
      </c>
      <c r="L4" s="1">
        <v>4</v>
      </c>
      <c r="M4" s="1">
        <v>4</v>
      </c>
      <c r="N4" s="1">
        <v>3</v>
      </c>
      <c r="O4" s="1">
        <v>3</v>
      </c>
      <c r="P4" s="1">
        <v>4</v>
      </c>
      <c r="Q4" s="1">
        <v>2</v>
      </c>
      <c r="R4" s="1">
        <v>2</v>
      </c>
      <c r="S4" s="1">
        <v>2</v>
      </c>
      <c r="T4" s="1">
        <v>1</v>
      </c>
      <c r="U4" s="1">
        <v>3</v>
      </c>
      <c r="V4" s="1">
        <v>5</v>
      </c>
      <c r="W4" s="1">
        <v>5</v>
      </c>
      <c r="X4" s="1">
        <v>4</v>
      </c>
      <c r="Y4" s="1">
        <v>4</v>
      </c>
      <c r="Z4" s="1">
        <v>4</v>
      </c>
      <c r="AA4" s="1">
        <v>3</v>
      </c>
      <c r="AB4" s="1">
        <v>4</v>
      </c>
      <c r="AC4" s="1">
        <v>5</v>
      </c>
      <c r="AD4" s="1">
        <v>3</v>
      </c>
      <c r="AE4" s="1">
        <v>4</v>
      </c>
    </row>
    <row r="5" spans="1:32">
      <c r="A5" s="1" t="s">
        <v>33</v>
      </c>
      <c r="B5" s="1">
        <v>5</v>
      </c>
      <c r="C5" s="1">
        <v>1</v>
      </c>
      <c r="D5" s="1">
        <v>4</v>
      </c>
      <c r="E5" s="1">
        <v>1</v>
      </c>
      <c r="F5" s="1">
        <v>4</v>
      </c>
      <c r="G5" s="1">
        <v>1</v>
      </c>
      <c r="H5" s="1">
        <v>4</v>
      </c>
      <c r="I5" s="1">
        <v>5</v>
      </c>
      <c r="J5" s="1">
        <v>5</v>
      </c>
      <c r="K5" s="1">
        <v>1</v>
      </c>
      <c r="L5" s="1">
        <v>3</v>
      </c>
      <c r="M5" s="1">
        <v>3</v>
      </c>
      <c r="N5" s="1">
        <v>1</v>
      </c>
      <c r="O5" s="1">
        <v>1</v>
      </c>
      <c r="P5" s="1">
        <v>5</v>
      </c>
      <c r="Q5" s="1">
        <v>2</v>
      </c>
      <c r="R5" s="1">
        <v>4</v>
      </c>
      <c r="S5" s="1">
        <v>4</v>
      </c>
      <c r="T5" s="1">
        <v>4</v>
      </c>
      <c r="U5" s="1">
        <v>1</v>
      </c>
      <c r="V5" s="1">
        <v>1</v>
      </c>
      <c r="W5" s="1">
        <v>5</v>
      </c>
      <c r="X5" s="1">
        <v>2</v>
      </c>
      <c r="Y5" s="1">
        <v>5</v>
      </c>
      <c r="Z5" s="1">
        <v>5</v>
      </c>
      <c r="AA5" s="1">
        <v>2</v>
      </c>
      <c r="AB5" s="1">
        <v>2</v>
      </c>
      <c r="AC5" s="1">
        <v>5</v>
      </c>
      <c r="AD5" s="1">
        <v>3</v>
      </c>
      <c r="AE5" s="1">
        <v>4</v>
      </c>
    </row>
    <row r="6" spans="1:32">
      <c r="A6" s="1" t="s">
        <v>34</v>
      </c>
      <c r="B6" s="1">
        <v>5</v>
      </c>
      <c r="C6" s="1">
        <v>1</v>
      </c>
      <c r="D6" s="1">
        <v>4</v>
      </c>
      <c r="E6" s="1">
        <v>1</v>
      </c>
      <c r="F6" s="1">
        <v>3</v>
      </c>
      <c r="G6" s="1">
        <v>1</v>
      </c>
      <c r="H6" s="1">
        <v>4</v>
      </c>
      <c r="I6" s="1">
        <v>4</v>
      </c>
      <c r="J6" s="1">
        <v>5</v>
      </c>
      <c r="K6" s="1">
        <v>1</v>
      </c>
      <c r="L6" s="1">
        <v>3</v>
      </c>
      <c r="M6" s="1">
        <v>3</v>
      </c>
      <c r="N6" s="1">
        <v>1</v>
      </c>
      <c r="O6" s="1">
        <v>1</v>
      </c>
      <c r="P6" s="1">
        <v>4</v>
      </c>
      <c r="Q6" s="1">
        <v>1</v>
      </c>
      <c r="R6" s="1">
        <v>3</v>
      </c>
      <c r="S6" s="1">
        <v>3</v>
      </c>
      <c r="T6" s="1">
        <v>3</v>
      </c>
      <c r="U6" s="1">
        <v>1</v>
      </c>
      <c r="V6" s="1">
        <v>1</v>
      </c>
      <c r="W6" s="1">
        <v>4</v>
      </c>
      <c r="X6" s="1">
        <v>2</v>
      </c>
      <c r="Y6" s="1">
        <v>5</v>
      </c>
      <c r="Z6" s="1">
        <v>4</v>
      </c>
      <c r="AA6" s="1">
        <v>2</v>
      </c>
      <c r="AB6" s="1">
        <v>2</v>
      </c>
      <c r="AC6" s="1">
        <v>4</v>
      </c>
      <c r="AD6" s="1">
        <v>3</v>
      </c>
      <c r="AE6" s="1">
        <v>4</v>
      </c>
    </row>
    <row r="7" spans="1:32">
      <c r="A7" s="1" t="s">
        <v>35</v>
      </c>
      <c r="B7" s="1">
        <v>4</v>
      </c>
      <c r="C7" s="1">
        <v>1</v>
      </c>
      <c r="D7" s="1">
        <v>3</v>
      </c>
      <c r="E7" s="1">
        <v>1</v>
      </c>
      <c r="F7" s="1">
        <v>4</v>
      </c>
      <c r="G7" s="1">
        <v>1</v>
      </c>
      <c r="H7" s="1">
        <v>4</v>
      </c>
      <c r="I7" s="1">
        <v>4</v>
      </c>
      <c r="J7" s="1">
        <v>5</v>
      </c>
      <c r="K7" s="1">
        <v>1</v>
      </c>
      <c r="L7" s="1">
        <v>3</v>
      </c>
      <c r="M7" s="1">
        <v>4</v>
      </c>
      <c r="N7" s="1">
        <v>1</v>
      </c>
      <c r="O7" s="1">
        <v>1</v>
      </c>
      <c r="P7" s="1">
        <v>4</v>
      </c>
      <c r="Q7" s="1">
        <v>2</v>
      </c>
      <c r="R7" s="1">
        <v>3</v>
      </c>
      <c r="S7" s="1">
        <v>3</v>
      </c>
      <c r="T7" s="1">
        <v>3</v>
      </c>
      <c r="U7" s="1">
        <v>1</v>
      </c>
      <c r="V7" s="1">
        <v>1</v>
      </c>
      <c r="W7" s="1">
        <v>5</v>
      </c>
      <c r="X7" s="1">
        <v>2</v>
      </c>
      <c r="Y7" s="1">
        <v>4</v>
      </c>
      <c r="Z7" s="1">
        <v>3</v>
      </c>
      <c r="AA7" s="1">
        <v>1</v>
      </c>
      <c r="AB7" s="1">
        <v>3</v>
      </c>
      <c r="AC7" s="1">
        <v>4</v>
      </c>
      <c r="AD7" s="1">
        <v>5</v>
      </c>
      <c r="AE7" s="1">
        <v>3</v>
      </c>
    </row>
    <row r="8" spans="1:32">
      <c r="A8" s="1" t="s">
        <v>36</v>
      </c>
      <c r="B8" s="1">
        <v>5</v>
      </c>
      <c r="C8" s="1">
        <v>1</v>
      </c>
      <c r="D8" s="1">
        <v>4</v>
      </c>
      <c r="E8" s="1">
        <v>2</v>
      </c>
      <c r="F8" s="1">
        <v>3</v>
      </c>
      <c r="G8" s="1">
        <v>3</v>
      </c>
      <c r="H8" s="1">
        <v>3</v>
      </c>
      <c r="I8" s="1">
        <v>5</v>
      </c>
      <c r="J8" s="1">
        <v>5</v>
      </c>
      <c r="K8" s="1">
        <v>1</v>
      </c>
      <c r="L8" s="1">
        <v>4</v>
      </c>
      <c r="M8" s="1">
        <v>3</v>
      </c>
      <c r="N8" s="1">
        <v>1</v>
      </c>
      <c r="O8" s="1">
        <v>1</v>
      </c>
      <c r="P8" s="1">
        <v>4</v>
      </c>
      <c r="Q8" s="1">
        <v>2</v>
      </c>
      <c r="R8" s="1">
        <v>3</v>
      </c>
      <c r="S8" s="1">
        <v>4</v>
      </c>
      <c r="T8" s="1">
        <v>3</v>
      </c>
      <c r="U8" s="1">
        <v>3</v>
      </c>
      <c r="V8" s="1">
        <v>4</v>
      </c>
      <c r="W8" s="1">
        <v>4</v>
      </c>
      <c r="X8" s="1">
        <v>3</v>
      </c>
      <c r="Y8" s="1">
        <v>4</v>
      </c>
      <c r="Z8" s="1">
        <v>3</v>
      </c>
      <c r="AA8" s="1">
        <v>1</v>
      </c>
      <c r="AB8" s="1">
        <v>3</v>
      </c>
      <c r="AC8" s="1">
        <v>4</v>
      </c>
      <c r="AD8" s="1">
        <v>2</v>
      </c>
      <c r="AE8" s="1">
        <v>3</v>
      </c>
    </row>
    <row r="9" spans="1:32">
      <c r="A9" s="1" t="s">
        <v>37</v>
      </c>
      <c r="B9" s="1">
        <v>4</v>
      </c>
      <c r="C9" s="1">
        <v>1</v>
      </c>
      <c r="D9" s="1">
        <v>4</v>
      </c>
      <c r="E9" s="1">
        <v>3</v>
      </c>
      <c r="F9" s="1">
        <v>4</v>
      </c>
      <c r="G9" s="1">
        <v>3</v>
      </c>
      <c r="H9" s="1">
        <v>3</v>
      </c>
      <c r="I9" s="1">
        <v>5</v>
      </c>
      <c r="J9" s="1">
        <v>4</v>
      </c>
      <c r="K9" s="1">
        <v>1</v>
      </c>
      <c r="L9" s="1">
        <v>4</v>
      </c>
      <c r="M9" s="1">
        <v>3</v>
      </c>
      <c r="N9" s="1">
        <v>1</v>
      </c>
      <c r="O9" s="1">
        <v>1</v>
      </c>
      <c r="P9" s="1">
        <v>3</v>
      </c>
      <c r="Q9" s="1">
        <v>2</v>
      </c>
      <c r="R9" s="1">
        <v>3</v>
      </c>
      <c r="S9" s="1">
        <v>3</v>
      </c>
      <c r="T9" s="1">
        <v>1</v>
      </c>
      <c r="U9" s="1">
        <v>3</v>
      </c>
      <c r="V9" s="1">
        <v>4</v>
      </c>
      <c r="W9" s="1">
        <v>5</v>
      </c>
      <c r="X9" s="1">
        <v>2</v>
      </c>
      <c r="Y9" s="1">
        <v>3</v>
      </c>
      <c r="Z9" s="1">
        <v>2</v>
      </c>
      <c r="AA9" s="1">
        <v>1</v>
      </c>
      <c r="AB9" s="1">
        <v>2</v>
      </c>
      <c r="AC9" s="1">
        <v>4</v>
      </c>
      <c r="AD9" s="1">
        <v>3</v>
      </c>
      <c r="AE9" s="1">
        <v>4</v>
      </c>
    </row>
    <row r="10" spans="1:32">
      <c r="A10" s="1" t="s">
        <v>38</v>
      </c>
      <c r="B10" s="1">
        <v>4</v>
      </c>
      <c r="C10" s="1">
        <v>1</v>
      </c>
      <c r="D10" s="1">
        <v>3</v>
      </c>
      <c r="E10" s="1">
        <v>2</v>
      </c>
      <c r="F10" s="1">
        <v>3</v>
      </c>
      <c r="G10" s="1">
        <v>2</v>
      </c>
      <c r="H10" s="1">
        <v>2</v>
      </c>
      <c r="I10" s="1">
        <v>4</v>
      </c>
      <c r="J10" s="1">
        <v>4</v>
      </c>
      <c r="K10" s="1">
        <v>1</v>
      </c>
      <c r="L10" s="1">
        <v>3</v>
      </c>
      <c r="M10" s="1">
        <v>2</v>
      </c>
      <c r="N10" s="1">
        <v>1</v>
      </c>
      <c r="O10" s="1">
        <v>1</v>
      </c>
      <c r="P10" s="1">
        <v>3</v>
      </c>
      <c r="Q10" s="1">
        <v>1</v>
      </c>
      <c r="R10" s="1">
        <v>2</v>
      </c>
      <c r="S10" s="1">
        <v>3</v>
      </c>
      <c r="T10" s="1">
        <v>1</v>
      </c>
      <c r="U10" s="1">
        <v>2</v>
      </c>
      <c r="V10" s="1">
        <v>3</v>
      </c>
      <c r="W10" s="1">
        <v>5</v>
      </c>
      <c r="X10" s="1">
        <v>1</v>
      </c>
      <c r="Y10" s="1">
        <v>3</v>
      </c>
      <c r="Z10" s="1">
        <v>2</v>
      </c>
      <c r="AA10" s="1">
        <v>1</v>
      </c>
      <c r="AB10" s="1">
        <v>1</v>
      </c>
      <c r="AC10" s="1">
        <v>3</v>
      </c>
      <c r="AD10" s="1">
        <v>1</v>
      </c>
      <c r="AE10" s="1">
        <v>3</v>
      </c>
    </row>
    <row r="11" spans="1:32">
      <c r="A11" s="1" t="s">
        <v>39</v>
      </c>
      <c r="B11" s="1">
        <v>5</v>
      </c>
      <c r="C11" s="1">
        <v>1</v>
      </c>
      <c r="D11" s="1">
        <v>4</v>
      </c>
      <c r="E11" s="1">
        <v>2</v>
      </c>
      <c r="F11" s="1">
        <v>4</v>
      </c>
      <c r="G11" s="1">
        <v>3</v>
      </c>
      <c r="H11" s="1">
        <v>3</v>
      </c>
      <c r="I11" s="1">
        <v>5</v>
      </c>
      <c r="J11" s="1">
        <v>5</v>
      </c>
      <c r="K11" s="1">
        <v>2</v>
      </c>
      <c r="L11" s="1">
        <v>5</v>
      </c>
      <c r="M11" s="1">
        <v>4</v>
      </c>
      <c r="N11" s="1">
        <v>4</v>
      </c>
      <c r="O11" s="1">
        <v>3</v>
      </c>
      <c r="P11" s="1">
        <v>4</v>
      </c>
      <c r="Q11" s="1">
        <v>2</v>
      </c>
      <c r="R11" s="1">
        <v>4</v>
      </c>
      <c r="S11" s="1">
        <v>4</v>
      </c>
      <c r="T11" s="1">
        <v>4</v>
      </c>
      <c r="U11" s="1">
        <v>4</v>
      </c>
      <c r="V11" s="1">
        <v>3</v>
      </c>
      <c r="W11" s="1">
        <v>5</v>
      </c>
      <c r="X11" s="1">
        <v>5</v>
      </c>
      <c r="Y11" s="1">
        <v>5</v>
      </c>
      <c r="Z11" s="1">
        <v>4</v>
      </c>
      <c r="AA11" s="1">
        <v>3</v>
      </c>
      <c r="AB11" s="1">
        <v>4</v>
      </c>
      <c r="AC11" s="1">
        <v>4</v>
      </c>
      <c r="AD11" s="1">
        <v>3</v>
      </c>
      <c r="AE11" s="1">
        <v>4</v>
      </c>
    </row>
    <row r="12" spans="1:32">
      <c r="A12" s="1" t="s">
        <v>40</v>
      </c>
      <c r="B12" s="1">
        <v>4</v>
      </c>
      <c r="C12" s="1">
        <v>1</v>
      </c>
      <c r="D12" s="1">
        <v>3</v>
      </c>
      <c r="E12" s="1">
        <v>2</v>
      </c>
      <c r="F12" s="1">
        <v>3</v>
      </c>
      <c r="G12" s="1">
        <v>3</v>
      </c>
      <c r="H12" s="1">
        <v>2</v>
      </c>
      <c r="I12" s="1">
        <v>4</v>
      </c>
      <c r="J12" s="1">
        <v>4</v>
      </c>
      <c r="K12" s="1">
        <v>1</v>
      </c>
      <c r="L12" s="1">
        <v>4</v>
      </c>
      <c r="M12" s="1">
        <v>3</v>
      </c>
      <c r="N12" s="1">
        <v>4</v>
      </c>
      <c r="O12" s="1">
        <v>3</v>
      </c>
      <c r="P12" s="1">
        <v>4</v>
      </c>
      <c r="Q12" s="1">
        <v>1</v>
      </c>
      <c r="R12" s="1">
        <v>3</v>
      </c>
      <c r="S12" s="1">
        <v>4</v>
      </c>
      <c r="T12" s="1">
        <v>4</v>
      </c>
      <c r="U12" s="1">
        <v>2</v>
      </c>
      <c r="V12" s="1">
        <v>3</v>
      </c>
      <c r="W12" s="1">
        <v>4</v>
      </c>
      <c r="X12" s="1">
        <v>4</v>
      </c>
      <c r="Y12" s="1">
        <v>4</v>
      </c>
      <c r="Z12" s="1">
        <v>3</v>
      </c>
      <c r="AA12" s="1">
        <v>2</v>
      </c>
      <c r="AB12" s="1">
        <v>3</v>
      </c>
      <c r="AC12" s="1">
        <v>2</v>
      </c>
      <c r="AD12" s="1">
        <v>2</v>
      </c>
      <c r="AE12" s="1">
        <v>3</v>
      </c>
    </row>
    <row r="13" spans="1:32">
      <c r="A13" s="1" t="s">
        <v>41</v>
      </c>
      <c r="B13" s="1">
        <v>5</v>
      </c>
      <c r="C13" s="1">
        <v>1</v>
      </c>
      <c r="D13" s="1">
        <v>4</v>
      </c>
      <c r="E13" s="1">
        <v>1</v>
      </c>
      <c r="F13" s="1">
        <v>4</v>
      </c>
      <c r="G13" s="1">
        <v>4</v>
      </c>
      <c r="H13" s="1">
        <v>3</v>
      </c>
      <c r="I13" s="1">
        <v>5</v>
      </c>
      <c r="J13" s="1">
        <v>5</v>
      </c>
      <c r="K13" s="1">
        <v>3</v>
      </c>
      <c r="L13" s="1">
        <v>4</v>
      </c>
      <c r="M13" s="1">
        <v>3</v>
      </c>
      <c r="N13" s="1">
        <v>4</v>
      </c>
      <c r="O13" s="1">
        <v>3</v>
      </c>
      <c r="P13" s="1">
        <v>3</v>
      </c>
      <c r="Q13" s="1">
        <v>1</v>
      </c>
      <c r="R13" s="1">
        <v>3</v>
      </c>
      <c r="S13" s="1">
        <v>4</v>
      </c>
      <c r="T13" s="1">
        <v>4</v>
      </c>
      <c r="U13" s="1">
        <v>3</v>
      </c>
      <c r="V13" s="1">
        <v>3</v>
      </c>
      <c r="W13" s="1">
        <v>4</v>
      </c>
      <c r="X13" s="1">
        <v>4</v>
      </c>
      <c r="Y13" s="1">
        <v>4</v>
      </c>
      <c r="Z13" s="1">
        <v>5</v>
      </c>
      <c r="AA13" s="1">
        <v>2</v>
      </c>
      <c r="AB13" s="1">
        <v>2</v>
      </c>
      <c r="AC13" s="1">
        <v>3</v>
      </c>
      <c r="AD13" s="1">
        <v>2</v>
      </c>
      <c r="AE13" s="1">
        <v>3</v>
      </c>
    </row>
    <row r="14" spans="1:32" ht="15" customHeight="1">
      <c r="C14" s="6" t="s">
        <v>104</v>
      </c>
      <c r="AA14" s="4"/>
    </row>
    <row r="16" spans="1:32">
      <c r="A16" s="1" t="s">
        <v>42</v>
      </c>
      <c r="B16" s="5">
        <f>AVERAGE(B2:B4)</f>
        <v>4</v>
      </c>
      <c r="C16" s="5">
        <f t="shared" ref="C16:AE16" si="0">AVERAGE(C2:C4)</f>
        <v>1</v>
      </c>
      <c r="D16" s="5">
        <f t="shared" si="0"/>
        <v>3.6666666666666665</v>
      </c>
      <c r="E16" s="5">
        <f t="shared" si="0"/>
        <v>2.6666666666666665</v>
      </c>
      <c r="F16" s="5">
        <f t="shared" si="0"/>
        <v>3.6666666666666665</v>
      </c>
      <c r="G16" s="5">
        <f t="shared" si="0"/>
        <v>2.6666666666666665</v>
      </c>
      <c r="H16" s="5">
        <f t="shared" si="0"/>
        <v>4</v>
      </c>
      <c r="I16" s="5">
        <f t="shared" si="0"/>
        <v>4.333333333333333</v>
      </c>
      <c r="J16" s="5">
        <f t="shared" si="0"/>
        <v>4.666666666666667</v>
      </c>
      <c r="K16" s="5">
        <f t="shared" si="0"/>
        <v>3.6666666666666665</v>
      </c>
      <c r="L16" s="5">
        <f t="shared" si="0"/>
        <v>3.6666666666666665</v>
      </c>
      <c r="M16" s="5">
        <f t="shared" si="0"/>
        <v>3.6666666666666665</v>
      </c>
      <c r="N16" s="5">
        <f t="shared" si="0"/>
        <v>3.3333333333333335</v>
      </c>
      <c r="O16" s="5">
        <f t="shared" si="0"/>
        <v>3.3333333333333335</v>
      </c>
      <c r="P16" s="5">
        <f t="shared" si="0"/>
        <v>4</v>
      </c>
      <c r="Q16" s="5">
        <f t="shared" si="0"/>
        <v>3</v>
      </c>
      <c r="R16" s="5">
        <f t="shared" si="0"/>
        <v>2</v>
      </c>
      <c r="S16" s="5">
        <f t="shared" si="0"/>
        <v>3</v>
      </c>
      <c r="T16" s="5">
        <f t="shared" si="0"/>
        <v>2.6666666666666665</v>
      </c>
      <c r="U16" s="5">
        <f t="shared" si="0"/>
        <v>3</v>
      </c>
      <c r="V16" s="5">
        <f t="shared" si="0"/>
        <v>4.333333333333333</v>
      </c>
      <c r="W16" s="5">
        <f t="shared" si="0"/>
        <v>4.666666666666667</v>
      </c>
      <c r="X16" s="5">
        <f t="shared" si="0"/>
        <v>3.3333333333333335</v>
      </c>
      <c r="Y16" s="5">
        <f t="shared" si="0"/>
        <v>4.333333333333333</v>
      </c>
      <c r="Z16" s="5">
        <f t="shared" si="0"/>
        <v>3.6666666666666665</v>
      </c>
      <c r="AA16" s="5">
        <f t="shared" si="0"/>
        <v>2.3333333333333335</v>
      </c>
      <c r="AB16" s="5">
        <f t="shared" si="0"/>
        <v>3.3333333333333335</v>
      </c>
      <c r="AC16" s="5">
        <f t="shared" si="0"/>
        <v>4.666666666666667</v>
      </c>
      <c r="AD16" s="5">
        <f t="shared" si="0"/>
        <v>3.3333333333333335</v>
      </c>
      <c r="AE16" s="5">
        <f t="shared" si="0"/>
        <v>3.6666666666666665</v>
      </c>
      <c r="AF16" s="5">
        <f>AVERAGE(B16:AE16)</f>
        <v>3.4555555555555553</v>
      </c>
    </row>
    <row r="17" spans="1:32">
      <c r="A17" s="1" t="s">
        <v>43</v>
      </c>
      <c r="B17" s="5">
        <f>AVERAGE(B5:B7)</f>
        <v>4.666666666666667</v>
      </c>
      <c r="C17" s="5">
        <f t="shared" ref="C17:AE17" si="1">AVERAGE(C5:C7)</f>
        <v>1</v>
      </c>
      <c r="D17" s="5">
        <f t="shared" si="1"/>
        <v>3.6666666666666665</v>
      </c>
      <c r="E17" s="5">
        <f t="shared" si="1"/>
        <v>1</v>
      </c>
      <c r="F17" s="5">
        <f t="shared" si="1"/>
        <v>3.6666666666666665</v>
      </c>
      <c r="G17" s="5">
        <f t="shared" si="1"/>
        <v>1</v>
      </c>
      <c r="H17" s="5">
        <f t="shared" si="1"/>
        <v>4</v>
      </c>
      <c r="I17" s="5">
        <f t="shared" si="1"/>
        <v>4.333333333333333</v>
      </c>
      <c r="J17" s="5">
        <f t="shared" si="1"/>
        <v>5</v>
      </c>
      <c r="K17" s="5">
        <f t="shared" si="1"/>
        <v>1</v>
      </c>
      <c r="L17" s="5">
        <f t="shared" si="1"/>
        <v>3</v>
      </c>
      <c r="M17" s="5">
        <f t="shared" si="1"/>
        <v>3.3333333333333335</v>
      </c>
      <c r="N17" s="5">
        <f t="shared" si="1"/>
        <v>1</v>
      </c>
      <c r="O17" s="5">
        <f t="shared" si="1"/>
        <v>1</v>
      </c>
      <c r="P17" s="5">
        <f t="shared" si="1"/>
        <v>4.333333333333333</v>
      </c>
      <c r="Q17" s="5">
        <f t="shared" si="1"/>
        <v>1.6666666666666667</v>
      </c>
      <c r="R17" s="5">
        <f t="shared" si="1"/>
        <v>3.3333333333333335</v>
      </c>
      <c r="S17" s="5">
        <f t="shared" si="1"/>
        <v>3.3333333333333335</v>
      </c>
      <c r="T17" s="5">
        <f t="shared" si="1"/>
        <v>3.3333333333333335</v>
      </c>
      <c r="U17" s="5">
        <f t="shared" si="1"/>
        <v>1</v>
      </c>
      <c r="V17" s="5">
        <f t="shared" si="1"/>
        <v>1</v>
      </c>
      <c r="W17" s="5">
        <f t="shared" si="1"/>
        <v>4.666666666666667</v>
      </c>
      <c r="X17" s="5">
        <f t="shared" si="1"/>
        <v>2</v>
      </c>
      <c r="Y17" s="5">
        <f t="shared" si="1"/>
        <v>4.666666666666667</v>
      </c>
      <c r="Z17" s="5">
        <f t="shared" si="1"/>
        <v>4</v>
      </c>
      <c r="AA17" s="5">
        <f t="shared" si="1"/>
        <v>1.6666666666666667</v>
      </c>
      <c r="AB17" s="5">
        <f t="shared" si="1"/>
        <v>2.3333333333333335</v>
      </c>
      <c r="AC17" s="5">
        <f t="shared" si="1"/>
        <v>4.333333333333333</v>
      </c>
      <c r="AD17" s="5">
        <f t="shared" si="1"/>
        <v>3.6666666666666665</v>
      </c>
      <c r="AE17" s="5">
        <f t="shared" si="1"/>
        <v>3.6666666666666665</v>
      </c>
      <c r="AF17" s="5">
        <f>AVERAGE(B17:AE17)</f>
        <v>2.8888888888888888</v>
      </c>
    </row>
    <row r="18" spans="1:32">
      <c r="A18" s="1" t="s">
        <v>44</v>
      </c>
      <c r="B18" s="5">
        <f>AVERAGE(B8:B10)</f>
        <v>4.333333333333333</v>
      </c>
      <c r="C18" s="5">
        <f t="shared" ref="C18:AE18" si="2">AVERAGE(C8:C10)</f>
        <v>1</v>
      </c>
      <c r="D18" s="5">
        <f t="shared" si="2"/>
        <v>3.6666666666666665</v>
      </c>
      <c r="E18" s="5">
        <f t="shared" si="2"/>
        <v>2.3333333333333335</v>
      </c>
      <c r="F18" s="5">
        <f t="shared" si="2"/>
        <v>3.3333333333333335</v>
      </c>
      <c r="G18" s="5">
        <f t="shared" si="2"/>
        <v>2.6666666666666665</v>
      </c>
      <c r="H18" s="5">
        <f t="shared" si="2"/>
        <v>2.6666666666666665</v>
      </c>
      <c r="I18" s="5">
        <f t="shared" si="2"/>
        <v>4.666666666666667</v>
      </c>
      <c r="J18" s="5">
        <f t="shared" si="2"/>
        <v>4.333333333333333</v>
      </c>
      <c r="K18" s="5">
        <f t="shared" si="2"/>
        <v>1</v>
      </c>
      <c r="L18" s="5">
        <f t="shared" si="2"/>
        <v>3.6666666666666665</v>
      </c>
      <c r="M18" s="5">
        <f t="shared" si="2"/>
        <v>2.6666666666666665</v>
      </c>
      <c r="N18" s="5">
        <f t="shared" si="2"/>
        <v>1</v>
      </c>
      <c r="O18" s="5">
        <f t="shared" si="2"/>
        <v>1</v>
      </c>
      <c r="P18" s="5">
        <f t="shared" si="2"/>
        <v>3.3333333333333335</v>
      </c>
      <c r="Q18" s="5">
        <f t="shared" si="2"/>
        <v>1.6666666666666667</v>
      </c>
      <c r="R18" s="5">
        <f t="shared" si="2"/>
        <v>2.6666666666666665</v>
      </c>
      <c r="S18" s="5">
        <f t="shared" si="2"/>
        <v>3.3333333333333335</v>
      </c>
      <c r="T18" s="5">
        <f t="shared" si="2"/>
        <v>1.6666666666666667</v>
      </c>
      <c r="U18" s="5">
        <f t="shared" si="2"/>
        <v>2.6666666666666665</v>
      </c>
      <c r="V18" s="5">
        <f t="shared" si="2"/>
        <v>3.6666666666666665</v>
      </c>
      <c r="W18" s="5">
        <f t="shared" si="2"/>
        <v>4.666666666666667</v>
      </c>
      <c r="X18" s="5">
        <f t="shared" si="2"/>
        <v>2</v>
      </c>
      <c r="Y18" s="5">
        <f t="shared" si="2"/>
        <v>3.3333333333333335</v>
      </c>
      <c r="Z18" s="5">
        <f t="shared" si="2"/>
        <v>2.3333333333333335</v>
      </c>
      <c r="AA18" s="5">
        <f t="shared" si="2"/>
        <v>1</v>
      </c>
      <c r="AB18" s="5">
        <f t="shared" si="2"/>
        <v>2</v>
      </c>
      <c r="AC18" s="5">
        <f t="shared" si="2"/>
        <v>3.6666666666666665</v>
      </c>
      <c r="AD18" s="5">
        <f t="shared" si="2"/>
        <v>2</v>
      </c>
      <c r="AE18" s="5">
        <f t="shared" si="2"/>
        <v>3.3333333333333335</v>
      </c>
      <c r="AF18" s="5">
        <f>AVERAGE(B18:AE18)</f>
        <v>2.7222222222222219</v>
      </c>
    </row>
    <row r="19" spans="1:32">
      <c r="A19" s="1" t="s">
        <v>45</v>
      </c>
      <c r="B19" s="5">
        <f>AVERAGE(B11:B13)</f>
        <v>4.666666666666667</v>
      </c>
      <c r="C19" s="5">
        <f t="shared" ref="C19:AE19" si="3">AVERAGE(C11:C13)</f>
        <v>1</v>
      </c>
      <c r="D19" s="5">
        <f t="shared" si="3"/>
        <v>3.6666666666666665</v>
      </c>
      <c r="E19" s="5">
        <f t="shared" si="3"/>
        <v>1.6666666666666667</v>
      </c>
      <c r="F19" s="5">
        <f t="shared" si="3"/>
        <v>3.6666666666666665</v>
      </c>
      <c r="G19" s="5">
        <f t="shared" si="3"/>
        <v>3.3333333333333335</v>
      </c>
      <c r="H19" s="5">
        <f t="shared" si="3"/>
        <v>2.6666666666666665</v>
      </c>
      <c r="I19" s="5">
        <f t="shared" si="3"/>
        <v>4.666666666666667</v>
      </c>
      <c r="J19" s="5">
        <f t="shared" si="3"/>
        <v>4.666666666666667</v>
      </c>
      <c r="K19" s="5">
        <f t="shared" si="3"/>
        <v>2</v>
      </c>
      <c r="L19" s="5">
        <f t="shared" si="3"/>
        <v>4.333333333333333</v>
      </c>
      <c r="M19" s="5">
        <f t="shared" si="3"/>
        <v>3.3333333333333335</v>
      </c>
      <c r="N19" s="5">
        <f t="shared" si="3"/>
        <v>4</v>
      </c>
      <c r="O19" s="5">
        <f t="shared" si="3"/>
        <v>3</v>
      </c>
      <c r="P19" s="5">
        <f t="shared" si="3"/>
        <v>3.6666666666666665</v>
      </c>
      <c r="Q19" s="5">
        <f t="shared" si="3"/>
        <v>1.3333333333333333</v>
      </c>
      <c r="R19" s="5">
        <f t="shared" si="3"/>
        <v>3.3333333333333335</v>
      </c>
      <c r="S19" s="5">
        <f t="shared" si="3"/>
        <v>4</v>
      </c>
      <c r="T19" s="5">
        <f t="shared" si="3"/>
        <v>4</v>
      </c>
      <c r="U19" s="5">
        <f t="shared" si="3"/>
        <v>3</v>
      </c>
      <c r="V19" s="5">
        <f t="shared" si="3"/>
        <v>3</v>
      </c>
      <c r="W19" s="5">
        <f t="shared" si="3"/>
        <v>4.333333333333333</v>
      </c>
      <c r="X19" s="5">
        <f t="shared" si="3"/>
        <v>4.333333333333333</v>
      </c>
      <c r="Y19" s="5">
        <f t="shared" si="3"/>
        <v>4.333333333333333</v>
      </c>
      <c r="Z19" s="5">
        <f t="shared" si="3"/>
        <v>4</v>
      </c>
      <c r="AA19" s="5">
        <f t="shared" si="3"/>
        <v>2.3333333333333335</v>
      </c>
      <c r="AB19" s="5">
        <f t="shared" si="3"/>
        <v>3</v>
      </c>
      <c r="AC19" s="5">
        <f t="shared" si="3"/>
        <v>3</v>
      </c>
      <c r="AD19" s="5">
        <f t="shared" si="3"/>
        <v>2.3333333333333335</v>
      </c>
      <c r="AE19" s="5">
        <f t="shared" si="3"/>
        <v>3.3333333333333335</v>
      </c>
      <c r="AF19" s="5">
        <f>AVERAGE(B19:AE19)</f>
        <v>3.3333333333333326</v>
      </c>
    </row>
    <row r="20" spans="1:32">
      <c r="A20" s="1" t="s">
        <v>46</v>
      </c>
      <c r="B20" s="5">
        <f>B16*B23+B17*B24+B18*B25+B19*B26</f>
        <v>4.379084967320261</v>
      </c>
      <c r="C20" s="5">
        <f>C16*C23+C17*C24+C18*C25+C19*C26</f>
        <v>1</v>
      </c>
      <c r="D20" s="5">
        <f>D16*D23+D17*D24+D18*D25+D19*D26</f>
        <v>3.6666666666666661</v>
      </c>
      <c r="E20" s="5">
        <f t="shared" ref="E20:AE20" si="4">E16*E23+E17*E24+E18*E25+E19*E26</f>
        <v>1.9330065359477124</v>
      </c>
      <c r="F20" s="5">
        <f t="shared" si="4"/>
        <v>3.6045751633986924</v>
      </c>
      <c r="G20" s="5">
        <f t="shared" si="4"/>
        <v>2.2973856209150325</v>
      </c>
      <c r="H20" s="5">
        <f t="shared" si="4"/>
        <v>3.5098039215686274</v>
      </c>
      <c r="I20" s="5">
        <f t="shared" si="4"/>
        <v>4.4558823529411757</v>
      </c>
      <c r="J20" s="5">
        <f t="shared" si="4"/>
        <v>4.7026143790849666</v>
      </c>
      <c r="K20" s="5">
        <f t="shared" si="4"/>
        <v>2.083333333333333</v>
      </c>
      <c r="L20" s="5">
        <f t="shared" si="4"/>
        <v>3.5915032679738559</v>
      </c>
      <c r="M20" s="5">
        <f t="shared" si="4"/>
        <v>3.3218954248366015</v>
      </c>
      <c r="N20" s="5">
        <f t="shared" si="4"/>
        <v>2.3333333333333335</v>
      </c>
      <c r="O20" s="5">
        <f t="shared" si="4"/>
        <v>2.1519607843137258</v>
      </c>
      <c r="P20" s="5">
        <f t="shared" si="4"/>
        <v>3.9133986928104569</v>
      </c>
      <c r="Q20" s="5">
        <f t="shared" si="4"/>
        <v>2.0571895424836599</v>
      </c>
      <c r="R20" s="5">
        <f t="shared" si="4"/>
        <v>2.7581699346405228</v>
      </c>
      <c r="S20" s="5">
        <f t="shared" si="4"/>
        <v>3.3415032679738559</v>
      </c>
      <c r="T20" s="5">
        <f t="shared" si="4"/>
        <v>2.9183006535947706</v>
      </c>
      <c r="U20" s="5">
        <f t="shared" si="4"/>
        <v>2.3496732026143787</v>
      </c>
      <c r="V20" s="5">
        <f t="shared" si="4"/>
        <v>2.986928104575163</v>
      </c>
      <c r="W20" s="5">
        <f t="shared" si="4"/>
        <v>4.606209150326797</v>
      </c>
      <c r="X20" s="5">
        <f t="shared" si="4"/>
        <v>2.8741830065359477</v>
      </c>
      <c r="Y20" s="5">
        <f t="shared" si="4"/>
        <v>4.2450980392156854</v>
      </c>
      <c r="Z20" s="5">
        <f t="shared" si="4"/>
        <v>3.5767973856209148</v>
      </c>
      <c r="AA20" s="5">
        <f t="shared" si="4"/>
        <v>1.8888888888888888</v>
      </c>
      <c r="AB20" s="5">
        <f t="shared" si="4"/>
        <v>2.7303921568627452</v>
      </c>
      <c r="AC20" s="5">
        <f t="shared" si="4"/>
        <v>4.080065359477123</v>
      </c>
      <c r="AD20" s="5">
        <f t="shared" si="4"/>
        <v>3.0016339869281046</v>
      </c>
      <c r="AE20" s="5">
        <f t="shared" si="4"/>
        <v>3.5441176470588234</v>
      </c>
      <c r="AF20" s="5">
        <f>AVERAGE(B20:AE20)</f>
        <v>3.1301198257080602</v>
      </c>
    </row>
    <row r="21" spans="1:32">
      <c r="A21" s="1" t="s">
        <v>47</v>
      </c>
      <c r="B21" s="1">
        <f>RANK(B20,$B$20:$AE$20)</f>
        <v>4</v>
      </c>
      <c r="C21" s="1">
        <f>RANK(C20,$B$20:$AE$20)</f>
        <v>30</v>
      </c>
      <c r="D21" s="1">
        <f t="shared" ref="D21:AE21" si="5">RANK(D20,$B$20:$AE$20)</f>
        <v>8</v>
      </c>
      <c r="E21" s="1">
        <f t="shared" si="5"/>
        <v>28</v>
      </c>
      <c r="F21" s="1">
        <f t="shared" si="5"/>
        <v>9</v>
      </c>
      <c r="G21" s="1">
        <f t="shared" si="5"/>
        <v>24</v>
      </c>
      <c r="H21" s="1">
        <f t="shared" si="5"/>
        <v>13</v>
      </c>
      <c r="I21" s="1">
        <f t="shared" si="5"/>
        <v>3</v>
      </c>
      <c r="J21" s="1">
        <f t="shared" si="5"/>
        <v>1</v>
      </c>
      <c r="K21" s="1">
        <f t="shared" si="5"/>
        <v>26</v>
      </c>
      <c r="L21" s="1">
        <f t="shared" si="5"/>
        <v>10</v>
      </c>
      <c r="M21" s="1">
        <f t="shared" si="5"/>
        <v>15</v>
      </c>
      <c r="N21" s="1">
        <f t="shared" si="5"/>
        <v>23</v>
      </c>
      <c r="O21" s="1">
        <f t="shared" si="5"/>
        <v>25</v>
      </c>
      <c r="P21" s="1">
        <f t="shared" si="5"/>
        <v>7</v>
      </c>
      <c r="Q21" s="1">
        <f t="shared" si="5"/>
        <v>27</v>
      </c>
      <c r="R21" s="1">
        <f t="shared" si="5"/>
        <v>20</v>
      </c>
      <c r="S21" s="1">
        <f t="shared" si="5"/>
        <v>14</v>
      </c>
      <c r="T21" s="1">
        <f t="shared" si="5"/>
        <v>18</v>
      </c>
      <c r="U21" s="1">
        <f t="shared" si="5"/>
        <v>22</v>
      </c>
      <c r="V21" s="1">
        <f t="shared" si="5"/>
        <v>17</v>
      </c>
      <c r="W21" s="1">
        <f t="shared" si="5"/>
        <v>2</v>
      </c>
      <c r="X21" s="1">
        <f t="shared" si="5"/>
        <v>19</v>
      </c>
      <c r="Y21" s="1">
        <f t="shared" si="5"/>
        <v>5</v>
      </c>
      <c r="Z21" s="1">
        <f t="shared" si="5"/>
        <v>11</v>
      </c>
      <c r="AA21" s="1">
        <f t="shared" si="5"/>
        <v>29</v>
      </c>
      <c r="AB21" s="1">
        <f t="shared" si="5"/>
        <v>21</v>
      </c>
      <c r="AC21" s="1">
        <f t="shared" si="5"/>
        <v>6</v>
      </c>
      <c r="AD21" s="1">
        <f t="shared" si="5"/>
        <v>16</v>
      </c>
      <c r="AE21" s="1">
        <f t="shared" si="5"/>
        <v>12</v>
      </c>
    </row>
    <row r="23" spans="1:32">
      <c r="A23" s="1" t="s">
        <v>48</v>
      </c>
      <c r="B23" s="1">
        <f t="shared" ref="B23:I23" si="6">0.069/(0.069+0.06+0.038+0.037)</f>
        <v>0.33823529411764708</v>
      </c>
      <c r="C23" s="1">
        <f t="shared" si="6"/>
        <v>0.33823529411764708</v>
      </c>
      <c r="D23" s="1">
        <f t="shared" si="6"/>
        <v>0.33823529411764708</v>
      </c>
      <c r="E23" s="1">
        <f t="shared" si="6"/>
        <v>0.33823529411764708</v>
      </c>
      <c r="F23" s="1">
        <f t="shared" si="6"/>
        <v>0.33823529411764708</v>
      </c>
      <c r="G23" s="1">
        <f t="shared" si="6"/>
        <v>0.33823529411764708</v>
      </c>
      <c r="H23" s="1">
        <f t="shared" si="6"/>
        <v>0.33823529411764708</v>
      </c>
      <c r="I23" s="1">
        <f t="shared" si="6"/>
        <v>0.33823529411764708</v>
      </c>
      <c r="J23" s="1">
        <f t="shared" ref="J23:O23" si="7">0.069/(0.069+0.06+0.038+0.037)</f>
        <v>0.33823529411764708</v>
      </c>
      <c r="K23" s="1">
        <f t="shared" si="7"/>
        <v>0.33823529411764708</v>
      </c>
      <c r="L23" s="1">
        <f t="shared" si="7"/>
        <v>0.33823529411764708</v>
      </c>
      <c r="M23" s="1">
        <f t="shared" si="7"/>
        <v>0.33823529411764708</v>
      </c>
      <c r="N23" s="1">
        <f t="shared" si="7"/>
        <v>0.33823529411764708</v>
      </c>
      <c r="O23" s="1">
        <f t="shared" si="7"/>
        <v>0.33823529411764708</v>
      </c>
      <c r="P23" s="1">
        <f t="shared" ref="P23:U23" si="8">0.069/(0.069+0.06+0.038+0.037)</f>
        <v>0.33823529411764708</v>
      </c>
      <c r="Q23" s="1">
        <f t="shared" si="8"/>
        <v>0.33823529411764708</v>
      </c>
      <c r="R23" s="1">
        <f t="shared" si="8"/>
        <v>0.33823529411764708</v>
      </c>
      <c r="S23" s="1">
        <f t="shared" si="8"/>
        <v>0.33823529411764708</v>
      </c>
      <c r="T23" s="1">
        <f t="shared" si="8"/>
        <v>0.33823529411764708</v>
      </c>
      <c r="U23" s="1">
        <f t="shared" si="8"/>
        <v>0.33823529411764708</v>
      </c>
      <c r="V23" s="1">
        <f t="shared" ref="V23:AA23" si="9">0.069/(0.069+0.06+0.038+0.037)</f>
        <v>0.33823529411764708</v>
      </c>
      <c r="W23" s="1">
        <f t="shared" si="9"/>
        <v>0.33823529411764708</v>
      </c>
      <c r="X23" s="1">
        <f t="shared" si="9"/>
        <v>0.33823529411764708</v>
      </c>
      <c r="Y23" s="1">
        <f t="shared" si="9"/>
        <v>0.33823529411764708</v>
      </c>
      <c r="Z23" s="1">
        <f t="shared" si="9"/>
        <v>0.33823529411764708</v>
      </c>
      <c r="AA23" s="1">
        <f t="shared" si="9"/>
        <v>0.33823529411764708</v>
      </c>
      <c r="AB23" s="1">
        <f t="shared" ref="AB23:AE23" si="10">0.069/(0.069+0.06+0.038+0.037)</f>
        <v>0.33823529411764708</v>
      </c>
      <c r="AC23" s="1">
        <f t="shared" si="10"/>
        <v>0.33823529411764708</v>
      </c>
      <c r="AD23" s="1">
        <f t="shared" si="10"/>
        <v>0.33823529411764708</v>
      </c>
      <c r="AE23" s="1">
        <f t="shared" si="10"/>
        <v>0.33823529411764708</v>
      </c>
    </row>
    <row r="24" spans="1:32">
      <c r="A24" s="1" t="s">
        <v>49</v>
      </c>
      <c r="B24" s="1">
        <f t="shared" ref="B24:I24" si="11">0.06/(0.069+0.06+0.038+0.037)</f>
        <v>0.29411764705882348</v>
      </c>
      <c r="C24" s="1">
        <f t="shared" si="11"/>
        <v>0.29411764705882348</v>
      </c>
      <c r="D24" s="1">
        <f t="shared" si="11"/>
        <v>0.29411764705882348</v>
      </c>
      <c r="E24" s="1">
        <f t="shared" si="11"/>
        <v>0.29411764705882348</v>
      </c>
      <c r="F24" s="1">
        <f t="shared" si="11"/>
        <v>0.29411764705882348</v>
      </c>
      <c r="G24" s="1">
        <f t="shared" si="11"/>
        <v>0.29411764705882348</v>
      </c>
      <c r="H24" s="1">
        <f t="shared" si="11"/>
        <v>0.29411764705882348</v>
      </c>
      <c r="I24" s="1">
        <f t="shared" si="11"/>
        <v>0.29411764705882348</v>
      </c>
      <c r="J24" s="1">
        <f t="shared" ref="J24:O24" si="12">0.06/(0.069+0.06+0.038+0.037)</f>
        <v>0.29411764705882348</v>
      </c>
      <c r="K24" s="1">
        <f t="shared" si="12"/>
        <v>0.29411764705882348</v>
      </c>
      <c r="L24" s="1">
        <f t="shared" si="12"/>
        <v>0.29411764705882348</v>
      </c>
      <c r="M24" s="1">
        <f t="shared" si="12"/>
        <v>0.29411764705882348</v>
      </c>
      <c r="N24" s="1">
        <f t="shared" si="12"/>
        <v>0.29411764705882348</v>
      </c>
      <c r="O24" s="1">
        <f t="shared" si="12"/>
        <v>0.29411764705882348</v>
      </c>
      <c r="P24" s="1">
        <f t="shared" ref="P24:U24" si="13">0.06/(0.069+0.06+0.038+0.037)</f>
        <v>0.29411764705882348</v>
      </c>
      <c r="Q24" s="1">
        <f t="shared" si="13"/>
        <v>0.29411764705882348</v>
      </c>
      <c r="R24" s="1">
        <f t="shared" si="13"/>
        <v>0.29411764705882348</v>
      </c>
      <c r="S24" s="1">
        <f t="shared" si="13"/>
        <v>0.29411764705882348</v>
      </c>
      <c r="T24" s="1">
        <f t="shared" si="13"/>
        <v>0.29411764705882348</v>
      </c>
      <c r="U24" s="1">
        <f t="shared" si="13"/>
        <v>0.29411764705882348</v>
      </c>
      <c r="V24" s="1">
        <f t="shared" ref="V24:AA24" si="14">0.06/(0.069+0.06+0.038+0.037)</f>
        <v>0.29411764705882348</v>
      </c>
      <c r="W24" s="1">
        <f t="shared" si="14"/>
        <v>0.29411764705882348</v>
      </c>
      <c r="X24" s="1">
        <f t="shared" si="14"/>
        <v>0.29411764705882348</v>
      </c>
      <c r="Y24" s="1">
        <f t="shared" si="14"/>
        <v>0.29411764705882348</v>
      </c>
      <c r="Z24" s="1">
        <f t="shared" si="14"/>
        <v>0.29411764705882348</v>
      </c>
      <c r="AA24" s="1">
        <f t="shared" si="14"/>
        <v>0.29411764705882348</v>
      </c>
      <c r="AB24" s="1">
        <f t="shared" ref="AB24:AE24" si="15">0.06/(0.069+0.06+0.038+0.037)</f>
        <v>0.29411764705882348</v>
      </c>
      <c r="AC24" s="1">
        <f t="shared" si="15"/>
        <v>0.29411764705882348</v>
      </c>
      <c r="AD24" s="1">
        <f t="shared" si="15"/>
        <v>0.29411764705882348</v>
      </c>
      <c r="AE24" s="1">
        <f t="shared" si="15"/>
        <v>0.29411764705882348</v>
      </c>
    </row>
    <row r="25" spans="1:32">
      <c r="A25" s="1" t="s">
        <v>50</v>
      </c>
      <c r="B25" s="1">
        <f t="shared" ref="B25:I25" si="16">0.038/(0.069+0.06+0.038+0.037)</f>
        <v>0.18627450980392155</v>
      </c>
      <c r="C25" s="1">
        <f t="shared" si="16"/>
        <v>0.18627450980392155</v>
      </c>
      <c r="D25" s="1">
        <f t="shared" si="16"/>
        <v>0.18627450980392155</v>
      </c>
      <c r="E25" s="1">
        <f t="shared" si="16"/>
        <v>0.18627450980392155</v>
      </c>
      <c r="F25" s="1">
        <f t="shared" si="16"/>
        <v>0.18627450980392155</v>
      </c>
      <c r="G25" s="1">
        <f t="shared" si="16"/>
        <v>0.18627450980392155</v>
      </c>
      <c r="H25" s="1">
        <f t="shared" si="16"/>
        <v>0.18627450980392155</v>
      </c>
      <c r="I25" s="1">
        <f t="shared" si="16"/>
        <v>0.18627450980392155</v>
      </c>
      <c r="J25" s="1">
        <f t="shared" ref="J25:O25" si="17">0.038/(0.069+0.06+0.038+0.037)</f>
        <v>0.18627450980392155</v>
      </c>
      <c r="K25" s="1">
        <f t="shared" si="17"/>
        <v>0.18627450980392155</v>
      </c>
      <c r="L25" s="1">
        <f t="shared" si="17"/>
        <v>0.18627450980392155</v>
      </c>
      <c r="M25" s="1">
        <f t="shared" si="17"/>
        <v>0.18627450980392155</v>
      </c>
      <c r="N25" s="1">
        <f t="shared" si="17"/>
        <v>0.18627450980392155</v>
      </c>
      <c r="O25" s="1">
        <f t="shared" si="17"/>
        <v>0.18627450980392155</v>
      </c>
      <c r="P25" s="1">
        <f t="shared" ref="P25:U25" si="18">0.038/(0.069+0.06+0.038+0.037)</f>
        <v>0.18627450980392155</v>
      </c>
      <c r="Q25" s="1">
        <f t="shared" si="18"/>
        <v>0.18627450980392155</v>
      </c>
      <c r="R25" s="1">
        <f t="shared" si="18"/>
        <v>0.18627450980392155</v>
      </c>
      <c r="S25" s="1">
        <f t="shared" si="18"/>
        <v>0.18627450980392155</v>
      </c>
      <c r="T25" s="1">
        <f t="shared" si="18"/>
        <v>0.18627450980392155</v>
      </c>
      <c r="U25" s="1">
        <f t="shared" si="18"/>
        <v>0.18627450980392155</v>
      </c>
      <c r="V25" s="1">
        <f t="shared" ref="V25:AA25" si="19">0.038/(0.069+0.06+0.038+0.037)</f>
        <v>0.18627450980392155</v>
      </c>
      <c r="W25" s="1">
        <f t="shared" si="19"/>
        <v>0.18627450980392155</v>
      </c>
      <c r="X25" s="1">
        <f t="shared" si="19"/>
        <v>0.18627450980392155</v>
      </c>
      <c r="Y25" s="1">
        <f t="shared" si="19"/>
        <v>0.18627450980392155</v>
      </c>
      <c r="Z25" s="1">
        <f t="shared" si="19"/>
        <v>0.18627450980392155</v>
      </c>
      <c r="AA25" s="1">
        <f t="shared" si="19"/>
        <v>0.18627450980392155</v>
      </c>
      <c r="AB25" s="1">
        <f t="shared" ref="AB25:AE25" si="20">0.038/(0.069+0.06+0.038+0.037)</f>
        <v>0.18627450980392155</v>
      </c>
      <c r="AC25" s="1">
        <f t="shared" si="20"/>
        <v>0.18627450980392155</v>
      </c>
      <c r="AD25" s="1">
        <f t="shared" si="20"/>
        <v>0.18627450980392155</v>
      </c>
      <c r="AE25" s="1">
        <f t="shared" si="20"/>
        <v>0.18627450980392155</v>
      </c>
    </row>
    <row r="26" spans="1:32">
      <c r="A26" s="1" t="s">
        <v>51</v>
      </c>
      <c r="B26" s="1">
        <f t="shared" ref="B26:I26" si="21">0.037/(0.069+0.06+0.038+0.037)</f>
        <v>0.18137254901960781</v>
      </c>
      <c r="C26" s="1">
        <f t="shared" si="21"/>
        <v>0.18137254901960781</v>
      </c>
      <c r="D26" s="1">
        <f t="shared" si="21"/>
        <v>0.18137254901960781</v>
      </c>
      <c r="E26" s="1">
        <f t="shared" si="21"/>
        <v>0.18137254901960781</v>
      </c>
      <c r="F26" s="1">
        <f t="shared" si="21"/>
        <v>0.18137254901960781</v>
      </c>
      <c r="G26" s="1">
        <f t="shared" si="21"/>
        <v>0.18137254901960781</v>
      </c>
      <c r="H26" s="1">
        <f t="shared" si="21"/>
        <v>0.18137254901960781</v>
      </c>
      <c r="I26" s="1">
        <f t="shared" si="21"/>
        <v>0.18137254901960781</v>
      </c>
      <c r="J26" s="1">
        <f t="shared" ref="J26:O26" si="22">0.037/(0.069+0.06+0.038+0.037)</f>
        <v>0.18137254901960781</v>
      </c>
      <c r="K26" s="1">
        <f t="shared" si="22"/>
        <v>0.18137254901960781</v>
      </c>
      <c r="L26" s="1">
        <f t="shared" si="22"/>
        <v>0.18137254901960781</v>
      </c>
      <c r="M26" s="1">
        <f t="shared" si="22"/>
        <v>0.18137254901960781</v>
      </c>
      <c r="N26" s="1">
        <f t="shared" si="22"/>
        <v>0.18137254901960781</v>
      </c>
      <c r="O26" s="1">
        <f t="shared" si="22"/>
        <v>0.18137254901960781</v>
      </c>
      <c r="P26" s="1">
        <f t="shared" ref="P26:U26" si="23">0.037/(0.069+0.06+0.038+0.037)</f>
        <v>0.18137254901960781</v>
      </c>
      <c r="Q26" s="1">
        <f t="shared" si="23"/>
        <v>0.18137254901960781</v>
      </c>
      <c r="R26" s="1">
        <f t="shared" si="23"/>
        <v>0.18137254901960781</v>
      </c>
      <c r="S26" s="1">
        <f t="shared" si="23"/>
        <v>0.18137254901960781</v>
      </c>
      <c r="T26" s="1">
        <f t="shared" si="23"/>
        <v>0.18137254901960781</v>
      </c>
      <c r="U26" s="1">
        <f t="shared" si="23"/>
        <v>0.18137254901960781</v>
      </c>
      <c r="V26" s="1">
        <f t="shared" ref="V26:AA26" si="24">0.037/(0.069+0.06+0.038+0.037)</f>
        <v>0.18137254901960781</v>
      </c>
      <c r="W26" s="1">
        <f t="shared" si="24"/>
        <v>0.18137254901960781</v>
      </c>
      <c r="X26" s="1">
        <f t="shared" si="24"/>
        <v>0.18137254901960781</v>
      </c>
      <c r="Y26" s="1">
        <f t="shared" si="24"/>
        <v>0.18137254901960781</v>
      </c>
      <c r="Z26" s="1">
        <f t="shared" si="24"/>
        <v>0.18137254901960781</v>
      </c>
      <c r="AA26" s="1">
        <f t="shared" si="24"/>
        <v>0.18137254901960781</v>
      </c>
      <c r="AB26" s="1">
        <f t="shared" ref="AB26:AE26" si="25">0.037/(0.069+0.06+0.038+0.037)</f>
        <v>0.18137254901960781</v>
      </c>
      <c r="AC26" s="1">
        <f t="shared" si="25"/>
        <v>0.18137254901960781</v>
      </c>
      <c r="AD26" s="1">
        <f t="shared" si="25"/>
        <v>0.18137254901960781</v>
      </c>
      <c r="AE26" s="1">
        <f t="shared" si="25"/>
        <v>0.18137254901960781</v>
      </c>
    </row>
    <row r="28" spans="1:32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2">
      <c r="B29" s="5"/>
      <c r="C29" s="5"/>
      <c r="D29" s="5"/>
      <c r="E29" s="5"/>
    </row>
    <row r="30" spans="1:32">
      <c r="B30" s="5"/>
      <c r="C30" s="5"/>
      <c r="D30" s="5"/>
      <c r="E30" s="5"/>
    </row>
    <row r="31" spans="1:32">
      <c r="B31" s="5"/>
      <c r="C31" s="5"/>
      <c r="D31" s="5"/>
      <c r="E31" s="5"/>
    </row>
    <row r="32" spans="1:32">
      <c r="B32" s="5"/>
      <c r="C32" s="5"/>
      <c r="D32" s="5"/>
      <c r="E32" s="5"/>
    </row>
    <row r="33" spans="2:5">
      <c r="B33" s="5"/>
      <c r="C33" s="5"/>
      <c r="D33" s="5"/>
      <c r="E33" s="5"/>
    </row>
    <row r="34" spans="2:5">
      <c r="B34" s="5"/>
      <c r="C34" s="5"/>
      <c r="D34" s="5"/>
      <c r="E34" s="5"/>
    </row>
    <row r="35" spans="2:5">
      <c r="B35" s="5"/>
      <c r="C35" s="5"/>
      <c r="D35" s="5"/>
      <c r="E35" s="5"/>
    </row>
    <row r="36" spans="2:5">
      <c r="B36" s="5"/>
      <c r="C36" s="5"/>
      <c r="D36" s="5"/>
      <c r="E36" s="5"/>
    </row>
    <row r="37" spans="2:5">
      <c r="B37" s="5"/>
      <c r="C37" s="5"/>
      <c r="D37" s="5"/>
      <c r="E37" s="5"/>
    </row>
    <row r="38" spans="2:5">
      <c r="B38" s="5"/>
      <c r="C38" s="5"/>
      <c r="D38" s="5"/>
      <c r="E38" s="5"/>
    </row>
    <row r="39" spans="2:5">
      <c r="B39" s="5"/>
      <c r="C39" s="5"/>
      <c r="D39" s="5"/>
      <c r="E39" s="5"/>
    </row>
    <row r="40" spans="2:5">
      <c r="B40" s="5"/>
      <c r="C40" s="5"/>
      <c r="D40" s="5"/>
      <c r="E40" s="5"/>
    </row>
    <row r="41" spans="2:5">
      <c r="B41" s="5"/>
      <c r="C41" s="5"/>
      <c r="D41" s="5"/>
      <c r="E41" s="5"/>
    </row>
    <row r="42" spans="2:5">
      <c r="B42" s="5"/>
      <c r="C42" s="5"/>
      <c r="D42" s="5"/>
      <c r="E42" s="5"/>
    </row>
    <row r="43" spans="2:5">
      <c r="B43" s="5"/>
      <c r="C43" s="5"/>
      <c r="D43" s="5"/>
      <c r="E43" s="5"/>
    </row>
    <row r="44" spans="2:5">
      <c r="B44" s="5"/>
      <c r="C44" s="5"/>
      <c r="D44" s="5"/>
      <c r="E44" s="5"/>
    </row>
    <row r="45" spans="2:5">
      <c r="B45" s="5"/>
      <c r="C45" s="5"/>
      <c r="D45" s="5"/>
      <c r="E45" s="5"/>
    </row>
    <row r="46" spans="2:5">
      <c r="B46" s="5"/>
      <c r="C46" s="5"/>
      <c r="D46" s="5"/>
      <c r="E46" s="5"/>
    </row>
    <row r="47" spans="2:5">
      <c r="B47" s="5"/>
      <c r="C47" s="5"/>
      <c r="D47" s="5"/>
      <c r="E47" s="5"/>
    </row>
    <row r="48" spans="2:5">
      <c r="B48" s="5"/>
      <c r="C48" s="5"/>
      <c r="D48" s="5"/>
      <c r="E48" s="5"/>
    </row>
    <row r="49" spans="2:5">
      <c r="B49" s="5"/>
      <c r="C49" s="5"/>
      <c r="D49" s="5"/>
      <c r="E49" s="5"/>
    </row>
    <row r="50" spans="2:5">
      <c r="B50" s="5"/>
      <c r="C50" s="5"/>
      <c r="D50" s="5"/>
      <c r="E50" s="5"/>
    </row>
    <row r="51" spans="2:5">
      <c r="B51" s="5"/>
      <c r="C51" s="5"/>
      <c r="D51" s="5"/>
      <c r="E51" s="5"/>
    </row>
    <row r="52" spans="2:5">
      <c r="B52" s="5"/>
      <c r="C52" s="5"/>
      <c r="D52" s="5"/>
      <c r="E52" s="5"/>
    </row>
    <row r="53" spans="2:5">
      <c r="B53" s="5"/>
      <c r="C53" s="5"/>
      <c r="D53" s="5"/>
      <c r="E53" s="5"/>
    </row>
    <row r="54" spans="2:5">
      <c r="B54" s="5"/>
      <c r="C54" s="5"/>
      <c r="D54" s="5"/>
      <c r="E54" s="5"/>
    </row>
    <row r="55" spans="2:5">
      <c r="B55" s="5"/>
      <c r="C55" s="5"/>
      <c r="D55" s="5"/>
      <c r="E55" s="5"/>
    </row>
    <row r="56" spans="2:5">
      <c r="B56" s="5"/>
      <c r="C56" s="5"/>
      <c r="D56" s="5"/>
      <c r="E56" s="5"/>
    </row>
    <row r="57" spans="2:5">
      <c r="B57" s="5"/>
      <c r="C57" s="5"/>
      <c r="D57" s="5"/>
      <c r="E57" s="5"/>
    </row>
    <row r="58" spans="2:5">
      <c r="B58" s="5"/>
      <c r="C58" s="5"/>
      <c r="D58" s="5"/>
      <c r="E58" s="5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>
      <selection activeCell="G2" sqref="G2"/>
    </sheetView>
  </sheetViews>
  <sheetFormatPr baseColWidth="10" defaultColWidth="8.83203125" defaultRowHeight="14"/>
  <sheetData>
    <row r="1" spans="1:13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52</v>
      </c>
      <c r="I1" s="1" t="s">
        <v>53</v>
      </c>
      <c r="J1" s="1" t="s">
        <v>54</v>
      </c>
      <c r="K1" s="1" t="s">
        <v>39</v>
      </c>
      <c r="L1" s="1" t="s">
        <v>40</v>
      </c>
      <c r="M1" s="1" t="s">
        <v>41</v>
      </c>
    </row>
    <row r="2" spans="1:13">
      <c r="A2" s="1" t="s">
        <v>55</v>
      </c>
      <c r="B2" s="1">
        <v>4</v>
      </c>
      <c r="C2" s="1">
        <v>5</v>
      </c>
      <c r="D2" s="1">
        <v>4</v>
      </c>
      <c r="E2" s="1">
        <v>4</v>
      </c>
      <c r="F2" s="1">
        <v>3</v>
      </c>
      <c r="G2" s="1">
        <v>4</v>
      </c>
      <c r="H2" s="1">
        <v>5</v>
      </c>
      <c r="I2" s="1">
        <v>5</v>
      </c>
      <c r="J2" s="1">
        <v>4</v>
      </c>
      <c r="K2" s="1">
        <v>5</v>
      </c>
      <c r="L2" s="1">
        <v>5</v>
      </c>
      <c r="M2" s="1">
        <v>4</v>
      </c>
    </row>
    <row r="3" spans="1:13">
      <c r="A3" s="1" t="s">
        <v>56</v>
      </c>
      <c r="B3" s="1">
        <v>5</v>
      </c>
      <c r="C3" s="1">
        <v>5</v>
      </c>
      <c r="D3" s="1">
        <v>5</v>
      </c>
      <c r="E3" s="1">
        <v>4</v>
      </c>
      <c r="F3" s="1">
        <v>4</v>
      </c>
      <c r="G3" s="1">
        <v>4</v>
      </c>
      <c r="H3" s="1">
        <v>5</v>
      </c>
      <c r="I3" s="1">
        <v>5</v>
      </c>
      <c r="J3" s="1">
        <v>3</v>
      </c>
      <c r="K3" s="1">
        <v>4</v>
      </c>
      <c r="L3" s="1">
        <v>3</v>
      </c>
      <c r="M3" s="1">
        <v>4</v>
      </c>
    </row>
    <row r="4" spans="1:13">
      <c r="A4" s="1" t="s">
        <v>57</v>
      </c>
      <c r="B4" s="1">
        <v>5</v>
      </c>
      <c r="C4" s="1">
        <v>5</v>
      </c>
      <c r="D4" s="1">
        <v>5</v>
      </c>
      <c r="E4" s="1">
        <v>5</v>
      </c>
      <c r="F4" s="1">
        <v>4</v>
      </c>
      <c r="G4" s="1">
        <v>4</v>
      </c>
      <c r="H4" s="1">
        <v>4</v>
      </c>
      <c r="I4" s="1">
        <v>4</v>
      </c>
      <c r="J4" s="1">
        <v>3</v>
      </c>
      <c r="K4" s="1">
        <v>5</v>
      </c>
      <c r="L4" s="1">
        <v>5</v>
      </c>
      <c r="M4" s="1">
        <v>4</v>
      </c>
    </row>
    <row r="5" spans="1:13">
      <c r="A5" s="1" t="s">
        <v>58</v>
      </c>
      <c r="B5" s="1">
        <v>5</v>
      </c>
      <c r="C5" s="1">
        <v>5</v>
      </c>
      <c r="D5" s="1">
        <v>5</v>
      </c>
      <c r="E5" s="1">
        <v>5</v>
      </c>
      <c r="F5" s="1">
        <v>5</v>
      </c>
      <c r="G5" s="1">
        <v>4</v>
      </c>
      <c r="H5" s="1">
        <v>4</v>
      </c>
      <c r="I5" s="1">
        <v>4</v>
      </c>
      <c r="J5" s="1">
        <v>3</v>
      </c>
      <c r="K5" s="1">
        <v>5</v>
      </c>
      <c r="L5" s="1">
        <v>4</v>
      </c>
      <c r="M5" s="1">
        <v>4</v>
      </c>
    </row>
    <row r="6" spans="1:13">
      <c r="A6" s="1" t="s">
        <v>59</v>
      </c>
      <c r="B6" s="1">
        <v>5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4</v>
      </c>
      <c r="I6" s="1">
        <v>5</v>
      </c>
      <c r="J6" s="1">
        <v>4</v>
      </c>
      <c r="K6" s="1">
        <v>5</v>
      </c>
      <c r="L6" s="1">
        <v>4</v>
      </c>
      <c r="M6" s="1">
        <v>4</v>
      </c>
    </row>
    <row r="7" spans="1:13">
      <c r="A7" s="1" t="s">
        <v>60</v>
      </c>
      <c r="B7" s="1">
        <v>5</v>
      </c>
      <c r="C7" s="1">
        <v>5</v>
      </c>
      <c r="D7" s="1">
        <v>5</v>
      </c>
      <c r="E7" s="1">
        <v>5</v>
      </c>
      <c r="F7" s="1">
        <v>4</v>
      </c>
      <c r="G7" s="1">
        <v>4</v>
      </c>
      <c r="H7" s="1">
        <v>5</v>
      </c>
      <c r="I7" s="1">
        <v>5</v>
      </c>
      <c r="J7" s="1">
        <v>4</v>
      </c>
      <c r="K7" s="1">
        <v>5</v>
      </c>
      <c r="L7" s="1">
        <v>4</v>
      </c>
      <c r="M7" s="1">
        <v>4</v>
      </c>
    </row>
    <row r="8" spans="1:13">
      <c r="A8" s="1" t="s">
        <v>61</v>
      </c>
      <c r="B8" s="1">
        <v>4</v>
      </c>
      <c r="C8" s="1">
        <v>5</v>
      </c>
      <c r="D8" s="1">
        <v>5</v>
      </c>
      <c r="E8" s="1">
        <v>5</v>
      </c>
      <c r="F8" s="1">
        <v>5</v>
      </c>
      <c r="G8" s="1">
        <v>4</v>
      </c>
      <c r="H8" s="1">
        <v>4</v>
      </c>
      <c r="I8" s="1">
        <v>5</v>
      </c>
      <c r="J8" s="1">
        <v>4</v>
      </c>
      <c r="K8" s="1">
        <v>5</v>
      </c>
      <c r="L8" s="1">
        <v>5</v>
      </c>
      <c r="M8" s="1">
        <v>4</v>
      </c>
    </row>
    <row r="9" spans="1:13">
      <c r="A9" s="1" t="s">
        <v>62</v>
      </c>
      <c r="B9" s="1">
        <v>4</v>
      </c>
      <c r="C9" s="1">
        <v>5</v>
      </c>
      <c r="D9" s="1">
        <v>5</v>
      </c>
      <c r="E9" s="1">
        <v>5</v>
      </c>
      <c r="F9" s="1">
        <v>4</v>
      </c>
      <c r="G9" s="1">
        <v>4</v>
      </c>
      <c r="H9" s="1">
        <v>4</v>
      </c>
      <c r="I9" s="1">
        <v>5</v>
      </c>
      <c r="J9" s="1">
        <v>4</v>
      </c>
      <c r="K9" s="1">
        <v>5</v>
      </c>
      <c r="L9" s="1">
        <v>4</v>
      </c>
      <c r="M9" s="1">
        <v>4</v>
      </c>
    </row>
    <row r="10" spans="1:13">
      <c r="A10" s="1" t="s">
        <v>63</v>
      </c>
      <c r="B10" s="1">
        <v>4</v>
      </c>
      <c r="C10" s="1">
        <v>5</v>
      </c>
      <c r="D10" s="1">
        <v>4</v>
      </c>
      <c r="E10" s="1">
        <v>5</v>
      </c>
      <c r="F10" s="1">
        <v>4</v>
      </c>
      <c r="G10" s="1">
        <v>4</v>
      </c>
      <c r="H10" s="1">
        <v>4</v>
      </c>
      <c r="I10" s="1">
        <v>4</v>
      </c>
      <c r="J10" s="1">
        <v>3</v>
      </c>
      <c r="K10" s="1">
        <v>5</v>
      </c>
      <c r="L10" s="1">
        <v>5</v>
      </c>
      <c r="M10" s="1">
        <v>4</v>
      </c>
    </row>
    <row r="11" spans="1:13">
      <c r="A11" s="1" t="s">
        <v>64</v>
      </c>
      <c r="B11" s="1">
        <v>4</v>
      </c>
      <c r="C11" s="1">
        <v>5</v>
      </c>
      <c r="D11" s="1">
        <v>5</v>
      </c>
      <c r="E11" s="1">
        <v>5</v>
      </c>
      <c r="F11" s="1">
        <v>5</v>
      </c>
      <c r="G11" s="1">
        <v>4</v>
      </c>
      <c r="H11" s="1">
        <v>4</v>
      </c>
      <c r="I11" s="1">
        <v>4</v>
      </c>
      <c r="J11" s="1">
        <v>3</v>
      </c>
      <c r="K11" s="1">
        <v>5</v>
      </c>
      <c r="L11" s="1">
        <v>5</v>
      </c>
      <c r="M11" s="1">
        <v>5</v>
      </c>
    </row>
    <row r="12" spans="1:13">
      <c r="A12" s="1" t="s">
        <v>65</v>
      </c>
      <c r="B12" s="1">
        <v>4</v>
      </c>
      <c r="C12" s="1">
        <v>5</v>
      </c>
      <c r="D12" s="1">
        <v>5</v>
      </c>
      <c r="E12" s="1">
        <v>5</v>
      </c>
      <c r="F12" s="1">
        <v>5</v>
      </c>
      <c r="G12" s="1">
        <v>4</v>
      </c>
      <c r="H12" s="1">
        <v>5</v>
      </c>
      <c r="I12" s="1">
        <v>4</v>
      </c>
      <c r="J12" s="1">
        <v>3</v>
      </c>
      <c r="K12" s="1">
        <v>5</v>
      </c>
      <c r="L12" s="1">
        <v>4</v>
      </c>
      <c r="M12" s="1">
        <v>4</v>
      </c>
    </row>
    <row r="13" spans="1:13">
      <c r="A13" s="1" t="s">
        <v>66</v>
      </c>
      <c r="B13" s="1">
        <v>4</v>
      </c>
      <c r="C13" s="1">
        <v>5</v>
      </c>
      <c r="D13" s="1">
        <v>4</v>
      </c>
      <c r="E13" s="1">
        <v>5</v>
      </c>
      <c r="F13" s="1">
        <v>4</v>
      </c>
      <c r="G13" s="1">
        <v>3</v>
      </c>
      <c r="H13" s="1">
        <v>4</v>
      </c>
      <c r="I13" s="1">
        <v>4</v>
      </c>
      <c r="J13" s="1">
        <v>3</v>
      </c>
      <c r="K13" s="1">
        <v>5</v>
      </c>
      <c r="L13" s="1">
        <v>5</v>
      </c>
      <c r="M13" s="1">
        <v>4</v>
      </c>
    </row>
    <row r="14" spans="1:13">
      <c r="A14" s="1" t="s">
        <v>67</v>
      </c>
      <c r="B14" s="1">
        <v>5</v>
      </c>
      <c r="C14" s="1">
        <v>5</v>
      </c>
      <c r="D14" s="1">
        <v>5</v>
      </c>
      <c r="E14" s="1">
        <v>5</v>
      </c>
      <c r="F14" s="1">
        <v>4</v>
      </c>
      <c r="G14" s="1">
        <v>4</v>
      </c>
      <c r="H14" s="1">
        <v>5</v>
      </c>
      <c r="I14" s="1">
        <v>5</v>
      </c>
      <c r="J14" s="1">
        <v>4</v>
      </c>
      <c r="K14" s="1">
        <v>5</v>
      </c>
      <c r="L14" s="1">
        <v>5</v>
      </c>
      <c r="M14" s="1">
        <v>4</v>
      </c>
    </row>
    <row r="15" spans="1:13">
      <c r="A15" s="1" t="s">
        <v>68</v>
      </c>
      <c r="B15" s="1">
        <v>4</v>
      </c>
      <c r="C15" s="1">
        <v>4</v>
      </c>
      <c r="D15" s="1">
        <v>4</v>
      </c>
      <c r="E15" s="1">
        <v>5</v>
      </c>
      <c r="F15" s="1">
        <v>5</v>
      </c>
      <c r="G15" s="1">
        <v>5</v>
      </c>
      <c r="H15" s="1">
        <v>5</v>
      </c>
      <c r="I15" s="1">
        <v>5</v>
      </c>
      <c r="J15" s="1">
        <v>4</v>
      </c>
      <c r="K15" s="1">
        <v>5</v>
      </c>
      <c r="L15" s="1">
        <v>5</v>
      </c>
      <c r="M15" s="1">
        <v>4</v>
      </c>
    </row>
    <row r="16" spans="1:13">
      <c r="A16" s="1" t="s">
        <v>69</v>
      </c>
      <c r="B16" s="1">
        <v>5</v>
      </c>
      <c r="C16" s="1">
        <v>5</v>
      </c>
      <c r="D16" s="1">
        <v>4</v>
      </c>
      <c r="E16" s="1">
        <v>5</v>
      </c>
      <c r="F16" s="1">
        <v>5</v>
      </c>
      <c r="G16" s="1">
        <v>5</v>
      </c>
      <c r="H16" s="1">
        <v>5</v>
      </c>
      <c r="I16" s="1">
        <v>5</v>
      </c>
      <c r="J16" s="1">
        <v>4</v>
      </c>
      <c r="K16" s="1">
        <v>5</v>
      </c>
      <c r="L16" s="1">
        <v>5</v>
      </c>
      <c r="M16" s="1">
        <v>4</v>
      </c>
    </row>
    <row r="17" spans="1:13">
      <c r="A17" s="1" t="s">
        <v>70</v>
      </c>
      <c r="B17" s="1">
        <v>5</v>
      </c>
      <c r="C17" s="1">
        <v>5</v>
      </c>
      <c r="D17" s="1">
        <v>5</v>
      </c>
      <c r="E17" s="1">
        <v>5</v>
      </c>
      <c r="F17" s="1">
        <v>4</v>
      </c>
      <c r="G17" s="1">
        <v>4</v>
      </c>
      <c r="H17" s="1">
        <v>4</v>
      </c>
      <c r="I17" s="1">
        <v>4</v>
      </c>
      <c r="J17" s="1">
        <v>3</v>
      </c>
      <c r="K17" s="1">
        <v>5</v>
      </c>
      <c r="L17" s="1">
        <v>4</v>
      </c>
      <c r="M17" s="1">
        <v>4</v>
      </c>
    </row>
    <row r="18" spans="1:13">
      <c r="A18" s="1" t="s">
        <v>71</v>
      </c>
      <c r="B18" s="1">
        <v>5</v>
      </c>
      <c r="C18" s="1">
        <v>5</v>
      </c>
      <c r="D18" s="1">
        <v>5</v>
      </c>
      <c r="E18" s="1">
        <v>5</v>
      </c>
      <c r="F18" s="1">
        <v>5</v>
      </c>
      <c r="G18" s="1">
        <v>4</v>
      </c>
      <c r="H18" s="1">
        <v>4</v>
      </c>
      <c r="I18" s="1">
        <v>4</v>
      </c>
      <c r="J18" s="1">
        <v>3</v>
      </c>
      <c r="K18" s="1">
        <v>5</v>
      </c>
      <c r="L18" s="1">
        <v>4</v>
      </c>
      <c r="M18" s="1">
        <v>5</v>
      </c>
    </row>
    <row r="19" spans="1:13">
      <c r="A19" s="1" t="s">
        <v>72</v>
      </c>
      <c r="B19" s="1">
        <v>5</v>
      </c>
      <c r="C19" s="1">
        <v>5</v>
      </c>
      <c r="D19" s="1">
        <v>5</v>
      </c>
      <c r="E19" s="1">
        <v>5</v>
      </c>
      <c r="F19" s="1">
        <v>5</v>
      </c>
      <c r="G19" s="1">
        <v>4</v>
      </c>
      <c r="H19" s="1">
        <v>4</v>
      </c>
      <c r="I19" s="1">
        <v>4</v>
      </c>
      <c r="J19" s="1">
        <v>3</v>
      </c>
      <c r="K19" s="1">
        <v>5</v>
      </c>
      <c r="L19" s="1">
        <v>5</v>
      </c>
      <c r="M19" s="1">
        <v>4</v>
      </c>
    </row>
    <row r="20" spans="1:13">
      <c r="A20" s="1" t="s">
        <v>73</v>
      </c>
      <c r="B20" s="1">
        <v>5</v>
      </c>
      <c r="C20" s="1">
        <v>5</v>
      </c>
      <c r="D20" s="1">
        <v>5</v>
      </c>
      <c r="E20" s="1">
        <v>5</v>
      </c>
      <c r="F20" s="1">
        <v>5</v>
      </c>
      <c r="G20" s="1">
        <v>4</v>
      </c>
      <c r="H20" s="1">
        <v>5</v>
      </c>
      <c r="I20" s="1">
        <v>5</v>
      </c>
      <c r="J20" s="1">
        <v>4</v>
      </c>
      <c r="K20" s="1">
        <v>5</v>
      </c>
      <c r="L20" s="1">
        <v>4</v>
      </c>
      <c r="M20" s="1">
        <v>4</v>
      </c>
    </row>
    <row r="21" spans="1:13">
      <c r="A21" s="1" t="s">
        <v>74</v>
      </c>
      <c r="B21" s="1">
        <v>4</v>
      </c>
      <c r="C21" s="1">
        <v>5</v>
      </c>
      <c r="D21" s="1">
        <v>4</v>
      </c>
      <c r="E21" s="1">
        <v>5</v>
      </c>
      <c r="F21" s="1">
        <v>4</v>
      </c>
      <c r="G21" s="1">
        <v>4</v>
      </c>
      <c r="H21" s="1">
        <v>5</v>
      </c>
      <c r="I21" s="1">
        <v>5</v>
      </c>
      <c r="J21" s="1">
        <v>4</v>
      </c>
      <c r="K21" s="1">
        <v>5</v>
      </c>
      <c r="L21" s="1">
        <v>4</v>
      </c>
      <c r="M21" s="1">
        <v>5</v>
      </c>
    </row>
    <row r="22" spans="1:13">
      <c r="A22" s="1" t="s">
        <v>75</v>
      </c>
      <c r="B22" s="1">
        <v>4</v>
      </c>
      <c r="C22" s="1">
        <v>5</v>
      </c>
      <c r="D22" s="1">
        <v>5</v>
      </c>
      <c r="E22" s="1">
        <v>5</v>
      </c>
      <c r="F22" s="1">
        <v>4</v>
      </c>
      <c r="G22" s="1">
        <v>4</v>
      </c>
      <c r="H22" s="1">
        <v>5</v>
      </c>
      <c r="I22" s="1">
        <v>5</v>
      </c>
      <c r="J22" s="1">
        <v>4</v>
      </c>
      <c r="K22" s="1">
        <v>5</v>
      </c>
      <c r="L22" s="1">
        <v>4</v>
      </c>
      <c r="M22" s="1">
        <v>4</v>
      </c>
    </row>
    <row r="23" spans="1:13">
      <c r="A23" s="1" t="s">
        <v>76</v>
      </c>
      <c r="B23" s="1">
        <v>5</v>
      </c>
      <c r="C23" s="1">
        <v>5</v>
      </c>
      <c r="D23" s="1">
        <v>4</v>
      </c>
      <c r="E23" s="1">
        <v>5</v>
      </c>
      <c r="F23" s="1">
        <v>4</v>
      </c>
      <c r="G23" s="1">
        <v>4</v>
      </c>
      <c r="H23" s="1">
        <v>4</v>
      </c>
      <c r="I23" s="1">
        <v>5</v>
      </c>
      <c r="J23" s="1">
        <v>4</v>
      </c>
      <c r="K23" s="1">
        <v>5</v>
      </c>
      <c r="L23" s="1">
        <v>4</v>
      </c>
      <c r="M23" s="1">
        <v>4</v>
      </c>
    </row>
    <row r="24" spans="1:13">
      <c r="A24" s="1" t="s">
        <v>77</v>
      </c>
      <c r="B24" s="1">
        <v>5</v>
      </c>
      <c r="C24" s="1">
        <v>5</v>
      </c>
      <c r="D24" s="1">
        <v>4</v>
      </c>
      <c r="E24" s="1">
        <v>5</v>
      </c>
      <c r="F24" s="1">
        <v>4</v>
      </c>
      <c r="G24" s="1">
        <v>4</v>
      </c>
      <c r="H24" s="1">
        <v>5</v>
      </c>
      <c r="I24" s="1">
        <v>5</v>
      </c>
      <c r="J24" s="1">
        <v>4</v>
      </c>
      <c r="K24" s="1">
        <v>5</v>
      </c>
      <c r="L24" s="1">
        <v>4</v>
      </c>
      <c r="M24" s="1">
        <v>4</v>
      </c>
    </row>
    <row r="25" spans="1:13">
      <c r="A25" s="1" t="s">
        <v>78</v>
      </c>
      <c r="B25" s="1">
        <v>5</v>
      </c>
      <c r="C25" s="1">
        <v>5</v>
      </c>
      <c r="D25" s="1">
        <v>5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  <c r="J25" s="1">
        <v>3</v>
      </c>
      <c r="K25" s="1">
        <v>5</v>
      </c>
      <c r="L25" s="1">
        <v>5</v>
      </c>
      <c r="M25" s="1">
        <v>4</v>
      </c>
    </row>
    <row r="26" spans="1:13">
      <c r="A26" s="1" t="s">
        <v>79</v>
      </c>
      <c r="B26" s="1">
        <v>5</v>
      </c>
      <c r="C26" s="1">
        <v>5</v>
      </c>
      <c r="D26" s="1">
        <v>5</v>
      </c>
      <c r="E26" s="1">
        <v>4</v>
      </c>
      <c r="F26" s="1">
        <v>4</v>
      </c>
      <c r="G26" s="1">
        <v>4</v>
      </c>
      <c r="H26" s="1">
        <v>5</v>
      </c>
      <c r="I26" s="1">
        <v>4</v>
      </c>
      <c r="J26" s="1">
        <v>3</v>
      </c>
      <c r="K26" s="1">
        <v>5</v>
      </c>
      <c r="L26" s="1">
        <v>4</v>
      </c>
      <c r="M26" s="1">
        <v>4</v>
      </c>
    </row>
    <row r="27" spans="1:13">
      <c r="A27" s="1" t="s">
        <v>80</v>
      </c>
      <c r="B27" s="1">
        <v>5</v>
      </c>
      <c r="C27" s="1">
        <v>5</v>
      </c>
      <c r="D27" s="1">
        <v>5</v>
      </c>
      <c r="E27" s="1">
        <v>5</v>
      </c>
      <c r="F27" s="1">
        <v>4</v>
      </c>
      <c r="G27" s="1">
        <v>4</v>
      </c>
      <c r="H27" s="1">
        <v>5</v>
      </c>
      <c r="I27" s="1">
        <v>4</v>
      </c>
      <c r="J27" s="1">
        <v>4</v>
      </c>
      <c r="K27" s="1">
        <v>5</v>
      </c>
      <c r="L27" s="1">
        <v>5</v>
      </c>
      <c r="M27" s="1">
        <v>4</v>
      </c>
    </row>
    <row r="28" spans="1:13">
      <c r="A28" s="1" t="s">
        <v>81</v>
      </c>
      <c r="B28" s="1">
        <v>4</v>
      </c>
      <c r="C28" s="1">
        <v>5</v>
      </c>
      <c r="D28" s="1">
        <v>5</v>
      </c>
      <c r="E28" s="1">
        <v>5</v>
      </c>
      <c r="F28" s="1">
        <v>5</v>
      </c>
      <c r="G28" s="1">
        <v>4</v>
      </c>
      <c r="H28" s="1">
        <v>5</v>
      </c>
      <c r="I28" s="1">
        <v>4</v>
      </c>
      <c r="J28" s="1">
        <v>3</v>
      </c>
      <c r="K28" s="1">
        <v>5</v>
      </c>
      <c r="L28" s="1">
        <v>5</v>
      </c>
      <c r="M28" s="1">
        <v>4</v>
      </c>
    </row>
    <row r="29" spans="1:13">
      <c r="A29" s="1" t="s">
        <v>82</v>
      </c>
      <c r="B29" s="1">
        <v>5</v>
      </c>
      <c r="C29" s="1">
        <v>5</v>
      </c>
      <c r="D29" s="1">
        <v>5</v>
      </c>
      <c r="E29" s="1">
        <v>5</v>
      </c>
      <c r="F29" s="1">
        <v>4</v>
      </c>
      <c r="G29" s="1">
        <v>4</v>
      </c>
      <c r="H29" s="1">
        <v>5</v>
      </c>
      <c r="I29" s="1">
        <v>5</v>
      </c>
      <c r="J29" s="1">
        <v>4</v>
      </c>
      <c r="K29" s="1">
        <v>5</v>
      </c>
      <c r="L29" s="1">
        <v>4</v>
      </c>
      <c r="M29" s="1">
        <v>4</v>
      </c>
    </row>
    <row r="30" spans="1:13">
      <c r="A30" s="1" t="s">
        <v>83</v>
      </c>
      <c r="B30" s="1">
        <v>5</v>
      </c>
      <c r="C30" s="1">
        <v>5</v>
      </c>
      <c r="D30" s="1">
        <v>4</v>
      </c>
      <c r="E30" s="1">
        <v>5</v>
      </c>
      <c r="F30" s="1">
        <v>5</v>
      </c>
      <c r="G30" s="1">
        <v>4</v>
      </c>
      <c r="H30" s="1">
        <v>4</v>
      </c>
      <c r="I30" s="1">
        <v>5</v>
      </c>
      <c r="J30" s="1">
        <v>4</v>
      </c>
      <c r="K30" s="1">
        <v>5</v>
      </c>
      <c r="L30" s="1">
        <v>4</v>
      </c>
      <c r="M30" s="1">
        <v>4</v>
      </c>
    </row>
    <row r="31" spans="1:13">
      <c r="A31" s="1" t="s">
        <v>84</v>
      </c>
      <c r="B31" s="1">
        <v>5</v>
      </c>
      <c r="C31" s="1">
        <v>5</v>
      </c>
      <c r="D31" s="1">
        <v>4</v>
      </c>
      <c r="E31" s="1">
        <v>5</v>
      </c>
      <c r="F31" s="1">
        <v>5</v>
      </c>
      <c r="G31" s="1">
        <v>4</v>
      </c>
      <c r="H31" s="1">
        <v>5</v>
      </c>
      <c r="I31" s="1">
        <v>5</v>
      </c>
      <c r="J31" s="1">
        <v>4</v>
      </c>
      <c r="K31" s="1">
        <v>5</v>
      </c>
      <c r="L31" s="1">
        <v>5</v>
      </c>
      <c r="M31" s="1">
        <v>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H19" sqref="H19"/>
    </sheetView>
  </sheetViews>
  <sheetFormatPr baseColWidth="10" defaultColWidth="8.83203125" defaultRowHeight="14"/>
  <cols>
    <col min="7" max="7" width="12.83203125"/>
  </cols>
  <sheetData>
    <row r="1" spans="1:7">
      <c r="A1" s="1" t="s">
        <v>85</v>
      </c>
      <c r="B1" s="1"/>
      <c r="C1" s="1"/>
      <c r="D1" s="1"/>
      <c r="E1" s="1"/>
      <c r="F1" s="1"/>
      <c r="G1" s="1"/>
    </row>
    <row r="2" spans="1:7">
      <c r="A2" s="1"/>
      <c r="B2" s="1" t="s">
        <v>86</v>
      </c>
      <c r="C2" s="1" t="s">
        <v>87</v>
      </c>
      <c r="D2" s="1" t="s">
        <v>88</v>
      </c>
      <c r="E2" s="1" t="s">
        <v>89</v>
      </c>
      <c r="F2" s="1" t="s">
        <v>90</v>
      </c>
      <c r="G2" s="1" t="s">
        <v>91</v>
      </c>
    </row>
    <row r="3" spans="1:7">
      <c r="A3" s="1" t="s">
        <v>92</v>
      </c>
      <c r="B3" s="1">
        <v>30</v>
      </c>
      <c r="C3" s="1">
        <v>4.63</v>
      </c>
      <c r="D3" s="1">
        <v>0.49</v>
      </c>
      <c r="E3" s="1">
        <v>4</v>
      </c>
      <c r="F3" s="1">
        <v>5</v>
      </c>
      <c r="G3" s="1">
        <f>D3/C3</f>
        <v>0.10583153347732181</v>
      </c>
    </row>
    <row r="4" spans="1:7">
      <c r="A4" s="1" t="s">
        <v>93</v>
      </c>
      <c r="B4" s="1">
        <v>30</v>
      </c>
      <c r="C4" s="1">
        <v>4.97</v>
      </c>
      <c r="D4" s="1">
        <v>0.183</v>
      </c>
      <c r="E4" s="1">
        <v>4</v>
      </c>
      <c r="F4" s="1">
        <v>5</v>
      </c>
      <c r="G4" s="1">
        <f t="shared" ref="G4:G14" si="0">D4/C4</f>
        <v>3.6820925553319922E-2</v>
      </c>
    </row>
    <row r="5" spans="1:7">
      <c r="A5" s="1" t="s">
        <v>94</v>
      </c>
      <c r="B5" s="1">
        <v>30</v>
      </c>
      <c r="C5" s="1">
        <v>4.67</v>
      </c>
      <c r="D5" s="1">
        <v>0.47899999999999998</v>
      </c>
      <c r="E5" s="1">
        <v>4</v>
      </c>
      <c r="F5" s="1">
        <v>5</v>
      </c>
      <c r="G5" s="1">
        <f t="shared" si="0"/>
        <v>0.1025695931477516</v>
      </c>
    </row>
    <row r="6" spans="1:7">
      <c r="A6" s="1" t="s">
        <v>95</v>
      </c>
      <c r="B6" s="1">
        <v>30</v>
      </c>
      <c r="C6" s="1">
        <v>4.87</v>
      </c>
      <c r="D6" s="1">
        <v>0.34599999999999997</v>
      </c>
      <c r="E6" s="1">
        <v>4</v>
      </c>
      <c r="F6" s="1">
        <v>5</v>
      </c>
      <c r="G6" s="1">
        <f t="shared" si="0"/>
        <v>7.1047227926078024E-2</v>
      </c>
    </row>
    <row r="7" spans="1:7">
      <c r="A7" s="1" t="s">
        <v>96</v>
      </c>
      <c r="B7" s="1">
        <v>30</v>
      </c>
      <c r="C7" s="1">
        <v>4.4000000000000004</v>
      </c>
      <c r="D7" s="1">
        <v>0.56299999999999994</v>
      </c>
      <c r="E7" s="1">
        <v>3</v>
      </c>
      <c r="F7" s="1">
        <v>5</v>
      </c>
      <c r="G7" s="1">
        <f t="shared" si="0"/>
        <v>0.12795454545454543</v>
      </c>
    </row>
    <row r="8" spans="1:7">
      <c r="A8" s="1" t="s">
        <v>97</v>
      </c>
      <c r="B8" s="1">
        <v>30</v>
      </c>
      <c r="C8" s="1">
        <v>4.07</v>
      </c>
      <c r="D8" s="1">
        <v>0.36499999999999999</v>
      </c>
      <c r="E8" s="1">
        <v>3</v>
      </c>
      <c r="F8" s="1">
        <v>5</v>
      </c>
      <c r="G8" s="1">
        <f t="shared" si="0"/>
        <v>8.9680589680589673E-2</v>
      </c>
    </row>
    <row r="9" spans="1:7">
      <c r="A9" s="1" t="s">
        <v>98</v>
      </c>
      <c r="B9" s="1">
        <v>30</v>
      </c>
      <c r="C9" s="1">
        <v>4.53</v>
      </c>
      <c r="D9" s="1">
        <v>0.50700000000000001</v>
      </c>
      <c r="E9" s="1">
        <v>4</v>
      </c>
      <c r="F9" s="1">
        <v>5</v>
      </c>
      <c r="G9" s="1">
        <f t="shared" si="0"/>
        <v>0.1119205298013245</v>
      </c>
    </row>
    <row r="10" spans="1:7">
      <c r="A10" s="1" t="s">
        <v>99</v>
      </c>
      <c r="B10" s="1">
        <v>30</v>
      </c>
      <c r="C10" s="1">
        <v>4.57</v>
      </c>
      <c r="D10" s="1">
        <v>0.504</v>
      </c>
      <c r="E10" s="1">
        <v>4</v>
      </c>
      <c r="F10" s="1">
        <v>5</v>
      </c>
      <c r="G10" s="1">
        <f t="shared" si="0"/>
        <v>0.11028446389496717</v>
      </c>
    </row>
    <row r="11" spans="1:7">
      <c r="A11" s="1" t="s">
        <v>100</v>
      </c>
      <c r="B11" s="1">
        <v>30</v>
      </c>
      <c r="C11" s="1">
        <v>3.57</v>
      </c>
      <c r="D11" s="1">
        <v>0.504</v>
      </c>
      <c r="E11" s="1">
        <v>3</v>
      </c>
      <c r="F11" s="1">
        <v>4</v>
      </c>
      <c r="G11" s="1">
        <f t="shared" si="0"/>
        <v>0.14117647058823529</v>
      </c>
    </row>
    <row r="12" spans="1:7">
      <c r="A12" s="1" t="s">
        <v>101</v>
      </c>
      <c r="B12" s="1">
        <v>30</v>
      </c>
      <c r="C12" s="1">
        <v>4.97</v>
      </c>
      <c r="D12" s="1">
        <v>0.183</v>
      </c>
      <c r="E12" s="1">
        <v>4</v>
      </c>
      <c r="F12" s="1">
        <v>5</v>
      </c>
      <c r="G12" s="1">
        <f t="shared" si="0"/>
        <v>3.6820925553319922E-2</v>
      </c>
    </row>
    <row r="13" spans="1:7">
      <c r="A13" s="1" t="s">
        <v>102</v>
      </c>
      <c r="B13" s="1">
        <v>30</v>
      </c>
      <c r="C13" s="1">
        <v>4.43</v>
      </c>
      <c r="D13" s="1">
        <v>0.56799999999999995</v>
      </c>
      <c r="E13" s="1">
        <v>3</v>
      </c>
      <c r="F13" s="1">
        <v>5</v>
      </c>
      <c r="G13" s="1">
        <f t="shared" si="0"/>
        <v>0.12821670428893905</v>
      </c>
    </row>
    <row r="14" spans="1:7">
      <c r="A14" s="1" t="s">
        <v>103</v>
      </c>
      <c r="B14" s="1">
        <v>30</v>
      </c>
      <c r="C14" s="1">
        <v>4.13</v>
      </c>
      <c r="D14" s="1">
        <v>0.34599999999999997</v>
      </c>
      <c r="E14" s="1">
        <v>4</v>
      </c>
      <c r="F14" s="1">
        <v>5</v>
      </c>
      <c r="G14" s="1">
        <f t="shared" si="0"/>
        <v>8.3777239709443091E-2</v>
      </c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</dc:creator>
  <cp:lastModifiedBy>海涛 吴</cp:lastModifiedBy>
  <dcterms:created xsi:type="dcterms:W3CDTF">2025-11-19T07:11:00Z</dcterms:created>
  <dcterms:modified xsi:type="dcterms:W3CDTF">2026-04-02T04:29:07Z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AC45FD325C7944D1AF2F513FEB77437B</vt:lpwstr>
  </property>
  <property fmtid="{D5CDD505-2E9C-101B-9397-08002B2CF9AE}" pid="3" name="KSOProductBuildVer">
    <vt:lpwstr>2052-11.8.2.12089</vt:lpwstr>
  </property>
</Properties>
</file>